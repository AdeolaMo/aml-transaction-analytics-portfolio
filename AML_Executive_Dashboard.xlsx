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79e830190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cb769f8747f2451b"/>
    <x:sheet xmlns:r="http://schemas.openxmlformats.org/officeDocument/2006/relationships" name="Monthly KPI" sheetId="2" r:id="R716c53bbe2f34c17"/>
    <x:sheet xmlns:r="http://schemas.openxmlformats.org/officeDocument/2006/relationships" name="Scenario KPI" sheetId="3" r:id="Re22915fe21c64f6e"/>
    <x:sheet xmlns:r="http://schemas.openxmlformats.org/officeDocument/2006/relationships" name="Segment KPI" sheetId="4" r:id="R9ae47a33d0734d93"/>
    <x:sheet xmlns:r="http://schemas.openxmlformats.org/officeDocument/2006/relationships" name="Channel KPI" sheetId="5" r:id="R0ee07e8623dd4f90"/>
    <x:sheet xmlns:r="http://schemas.openxmlformats.org/officeDocument/2006/relationships" name="Review Queue" sheetId="6" r:id="Rd97965275d9743bb"/>
    <x:sheet xmlns:r="http://schemas.openxmlformats.org/officeDocument/2006/relationships" name="Data Quality" sheetId="7" r:id="Rceb2c2ce56f24616"/>
    <x:sheet xmlns:r="http://schemas.openxmlformats.org/officeDocument/2006/relationships" name="Read Me" sheetId="8" r:id="R13366964828c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"/>
    <x:numFmt numFmtId="201" formatCode="0.0%"/>
    <x:numFmt numFmtId="202" formatCode="#,##0"/>
    <x:numFmt numFmtId="203" formatCode="&quot;$&quot;#,##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3243D"/>
      <x:name val="Carlito"/>
    </x:font>
    <x:font>
      <x:b/>
      <x:sz val="20"/>
      <x:color rgb="FFFFFFFF"/>
      <x:name val="Carlito"/>
    </x:font>
    <x:font>
      <x:sz val="11"/>
      <x:color rgb="FF51647B"/>
      <x:name val="Carlito"/>
    </x:font>
    <x:font>
      <x:b/>
      <x:sz val="10"/>
      <x:color rgb="FF51647B"/>
      <x:name val="Carlito"/>
    </x:font>
    <x:font>
      <x:b/>
      <x:sz val="22"/>
      <x:color rgb="FF13243D"/>
      <x:name val="Carlito"/>
    </x:font>
    <x:font>
      <x:sz val="11"/>
      <x:color rgb="FF674B1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3243D"/>
      </x:patternFill>
    </x:fill>
    <x:fill>
      <x:patternFill patternType="solid">
        <x:fgColor rgb="FFF2F6FA"/>
      </x:patternFill>
    </x:fill>
    <x:fill>
      <x:patternFill patternType="solid">
        <x:fgColor rgb="FFE4F4FA"/>
      </x:patternFill>
    </x:fill>
    <x:fill>
      <x:patternFill patternType="solid">
        <x:fgColor rgb="FFEAF1F7"/>
      </x:patternFill>
    </x:fill>
    <x:fill>
      <x:patternFill patternType="solid">
        <x:fgColor rgb="FFFFFFFF"/>
      </x:patternFill>
    </x:fill>
    <x:fill>
      <x:patternFill patternType="solid">
        <x:fgColor rgb="FFFFF3D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 applyAlignment="1">
      <x:alignment horizontal="center" vertical="center"/>
    </x:xf>
    <x:xf numFmtId="203" fontId="7" fillId="6" borderId="0" xfId="0" applyNumberFormat="1" applyFont="1" applyFill="1" applyBorder="1" applyAlignment="1">
      <x:alignment horizontal="center" vertical="center"/>
    </x:xf>
    <x:xf numFmtId="203" fontId="7" fillId="6" borderId="1" xfId="0" applyNumberFormat="1" applyFont="1" applyFill="1" applyBorder="1" applyAlignment="1">
      <x:alignment horizontal="center" vertical="center"/>
    </x:xf>
    <x:xf numFmtId="201" fontId="7" fillId="6" borderId="0" xfId="0" applyNumberFormat="1" applyFont="1" applyFill="1" applyBorder="1" applyAlignment="1">
      <x:alignment horizontal="center" vertical="center"/>
    </x:xf>
    <x:xf numFmtId="201" fontId="7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8cac7a24548ec" /><Relationship Type="http://schemas.openxmlformats.org/officeDocument/2006/relationships/theme" Target="/xl/theme/theme1.xml" Id="R61f11624634144d8" /><Relationship Type="http://schemas.openxmlformats.org/officeDocument/2006/relationships/sharedStrings" Target="/xl/sharedStrings.xml" Id="R886fdf503e1d4eee" /><Relationship Type="http://schemas.openxmlformats.org/officeDocument/2006/relationships/worksheet" Target="/xl/worksheets/sheet1.xml" Id="Rcb769f8747f2451b" /><Relationship Type="http://schemas.openxmlformats.org/officeDocument/2006/relationships/worksheet" Target="/xl/worksheets/sheet2.xml" Id="R716c53bbe2f34c17" /><Relationship Type="http://schemas.openxmlformats.org/officeDocument/2006/relationships/worksheet" Target="/xl/worksheets/sheet3.xml" Id="Re22915fe21c64f6e" /><Relationship Type="http://schemas.openxmlformats.org/officeDocument/2006/relationships/worksheet" Target="/xl/worksheets/sheet4.xml" Id="R9ae47a33d0734d93" /><Relationship Type="http://schemas.openxmlformats.org/officeDocument/2006/relationships/worksheet" Target="/xl/worksheets/sheet5.xml" Id="R0ee07e8623dd4f90" /><Relationship Type="http://schemas.openxmlformats.org/officeDocument/2006/relationships/worksheet" Target="/xl/worksheets/sheet6.xml" Id="Rd97965275d9743bb" /><Relationship Type="http://schemas.openxmlformats.org/officeDocument/2006/relationships/worksheet" Target="/xl/worksheets/sheet7.xml" Id="Rceb2c2ce56f24616" /><Relationship Type="http://schemas.openxmlformats.org/officeDocument/2006/relationships/worksheet" Target="/xl/worksheets/sheet8.xml" Id="R13366964828c4b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c5bea7b41941fb" /><Relationship Type="http://schemas.openxmlformats.org/officeDocument/2006/relationships/chart" Target="/xl/drawings/charts/chart2.xml" Id="R226d2422d8ee4bf2" /><Relationship Type="http://schemas.openxmlformats.org/officeDocument/2006/relationships/chart" Target="/xl/drawings/charts/chart3.xml" Id="Rde8d728d8fac4b36" /><Relationship Type="http://schemas.openxmlformats.org/officeDocument/2006/relationships/chart" Target="/xl/drawings/charts/chart4.xml" Id="Ra4d22723e21f417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Inflows</c:v>
          </c:tx>
          <c:marker>
            <c:symbol val="none"/>
          </c:marker>
          <c:cat>
            <c:strRef>
              <c:f>'Monthly KPI'!$A$2:$A$7</c:f>
              <c:strCache>
                <c:ptCount val="0"/>
              </c:strCache>
            </c:strRef>
          </c:cat>
          <c:val>
            <c:numRef>
              <c:f>'Monthly KPI'!$E$2:$E$7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Outflows</c:v>
          </c:tx>
          <c:marker>
            <c:symbol val="none"/>
          </c:marker>
          <c:cat>
            <c:strRef>
              <c:f>'Monthly KPI'!$A$2:$A$7</c:f>
              <c:strCache>
                <c:ptCount val="0"/>
              </c:strCache>
            </c:strRef>
          </c:cat>
          <c:val>
            <c:numRef>
              <c:f>'Monthly KPI'!$F$2:$F$7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Hits</c:v>
          </c:tx>
          <c:cat>
            <c:strRef>
              <c:f>'Scenario KPI'!$A$2:$A$5</c:f>
              <c:strCache>
                <c:ptCount val="0"/>
              </c:strCache>
            </c:strRef>
          </c:cat>
          <c:val>
            <c:numRef>
              <c:f>'Scenario KPI'!$B$2:$B$5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Distinct flags</c:v>
          </c:tx>
          <c:marker>
            <c:symbol val="none"/>
          </c:marker>
          <c:cat>
            <c:strRef>
              <c:f>'Monthly KPI'!$A$2:$A$7</c:f>
              <c:strCache>
                <c:ptCount val="0"/>
              </c:strCache>
            </c:strRef>
          </c:cat>
          <c:val>
            <c:numRef>
              <c:f>'Monthly KPI'!$C$2:$C$7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USD</c:v>
          </c:tx>
          <c:cat>
            <c:strRef>
              <c:f>'Channel KPI'!$A$2:$A$5</c:f>
              <c:strCache>
                <c:ptCount val="0"/>
              </c:strCache>
            </c:strRef>
          </c:cat>
          <c:val>
            <c:numRef>
              <c:f>'Channel KPI'!$D$2:$D$5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c5bea7b41941fb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6d2422d8ee4bf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8d728d8fac4b36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d22723e21f41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KPI" displayName="MonthlyKPI" ref="A1:J7" headerRowCount="1" totalsRowCount="0" totalsRowShown="0">
  <x:tableColumns count="10">
    <x:tableColumn id="1" name="Month"/>
    <x:tableColumn id="2" name="Transactions"/>
    <x:tableColumn id="3" name="Flagged transactions"/>
    <x:tableColumn id="4" name="Rule hits"/>
    <x:tableColumn id="5" name="Inflow USD"/>
    <x:tableColumn id="6" name="Outflow USD"/>
    <x:tableColumn id="7" name="Gross volume USD"/>
    <x:tableColumn id="8" name="Active customers"/>
    <x:tableColumn id="9" name="Customer-month flags"/>
    <x:tableColumn id="10" name="Alert 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KPI" displayName="ScenarioKPI" ref="A1:D5" headerRowCount="1" totalsRowCount="0" totalsRowShown="0">
  <x:tableColumns count="4">
    <x:tableColumn id="1" name="Scenario code"/>
    <x:tableColumn id="2" name="Scenario hits"/>
    <x:tableColumn id="3" name="Customers hit"/>
    <x:tableColumn id="4" name="Hit value U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gmentKPI" displayName="SegmentKPI" ref="A1:F4" headerRowCount="1" totalsRowCount="0" totalsRowShown="0">
  <x:tableColumns count="6">
    <x:tableColumn id="1" name="Segment"/>
    <x:tableColumn id="2" name="Transactions"/>
    <x:tableColumn id="3" name="Flagged transactions"/>
    <x:tableColumn id="4" name="Gross volume USD"/>
    <x:tableColumn id="5" name="Active customers"/>
    <x:tableColumn id="6" name="Alert 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nelKPI" displayName="ChannelKPI" ref="A1:E5" headerRowCount="1" totalsRowCount="0" totalsRowShown="0">
  <x:tableColumns count="5">
    <x:tableColumn id="1" name="Channel"/>
    <x:tableColumn id="2" name="Transactions"/>
    <x:tableColumn id="3" name="Flagged transactions"/>
    <x:tableColumn id="4" name="Gross volume USD"/>
    <x:tableColumn id="5" name="Alert 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Queue" displayName="ReviewQueue" ref="A1:K81" headerRowCount="1" totalsRowCount="0" totalsRowShown="0">
  <x:tableColumns count="11">
    <x:tableColumn id="1" name="Customer ID"/>
    <x:tableColumn id="2" name="Synthetic customer"/>
    <x:tableColumn id="3" name="Segment"/>
    <x:tableColumn id="4" name="Risk tier"/>
    <x:tableColumn id="5" name="Month"/>
    <x:tableColumn id="6" name="Transactions"/>
    <x:tableColumn id="7" name="Inflow USD"/>
    <x:tableColumn id="8" name="Outflow USD"/>
    <x:tableColumn id="9" name="Gross volume USD"/>
    <x:tableColumn id="10" name="Expected monthly USD"/>
    <x:tableColumn id="11" name="Review flag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Quality" displayName="DataQuality" ref="A1:B7" headerRowCount="1" totalsRowCount="0" totalsRowShown="0">
  <x:tableColumns count="2">
    <x:tableColumn id="1" name="Rejected reason"/>
    <x:tableColumn id="2" name="Recor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b937a6bbf34b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3ea8217f8e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9a3a4cfd6f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51c3e1cb8a4b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d785703a2a40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782bae41184d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32055f73a54a8d" /></Relationships>
</file>

<file path=xl/worksheets/sheet1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5.5" hidden="0" customWidth="1"/>
    <x:col min="3" max="3" width="15.5" hidden="0" customWidth="1"/>
    <x:col min="4" max="4" width="15.5" hidden="0" customWidth="1"/>
    <x:col min="5" max="5" width="15.5" hidden="0" customWidth="1"/>
    <x:col min="6" max="6" width="15.5" hidden="0" customWidth="1"/>
    <x:col min="7" max="7" width="15.5" hidden="0" customWidth="1"/>
    <x:col min="8" max="8" width="15.5" hidden="0" customWidth="1"/>
    <x:col min="9" max="9" width="15.5" hidden="0" customWidth="1"/>
    <x:col min="10" max="10" width="15.5" hidden="0" customWidth="1"/>
    <x:col min="11" max="11" width="15.5" hidden="0" customWidth="1"/>
    <x:col min="12" max="12" width="15.5" hidden="0" customWidth="1"/>
  </x:cols>
  <x:sheetData>
    <x:row r="1" ht="29" customHeight="1">
      <x:c r="A1" s="23" t="str">
        <x:v>TRANSACTION INTELLIGENCE  |  AML ANALYTICS DEMO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29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29" customHeight="1">
      <x:c r="A3" s="27" t="str">
        <x:v>SYNTHETIC PORTFOLIO PROJECT  ·  APR–SEP 2026  ·  Monitoring indicators ≠ suspicious-activity decisions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27" customHeight="1">
      <x:c r="A4" s="33" t="str">
        <x:v>VALIDATED TRANSACTIONS</x:v>
      </x:c>
      <x:c r="B4" s="33"/>
      <x:c r="C4" s="33" t="str">
        <x:v>MONITORED VOLUME</x:v>
      </x:c>
      <x:c r="D4" s="33"/>
      <x:c r="E4" s="33" t="str">
        <x:v>FLAGGED TRANSACTIONS</x:v>
      </x:c>
      <x:c r="F4" s="33"/>
      <x:c r="G4" s="33" t="str">
        <x:v>FLAGGED RATE</x:v>
      </x:c>
      <x:c r="H4" s="33"/>
      <x:c r="I4" s="33" t="str">
        <x:v>MONTHLY REVIEW FLAGS</x:v>
      </x:c>
      <x:c r="J4" s="33"/>
      <x:c r="K4" s="33" t="str">
        <x:v>QUARANTINED ROWS</x:v>
      </x:c>
      <x:c r="L4" s="33"/>
    </x:row>
    <x:row r="5">
      <x:c r="A5" s="46" t="n">
        <x:f>SUM('Monthly KPI'!B2:B7)</x:f>
        <x:v>5067</x:v>
      </x:c>
      <x:c r="B5" s="41"/>
      <x:c r="C5" s="48" t="n">
        <x:f>SUM('Monthly KPI'!G2:G7)</x:f>
        <x:v>58775686.580000006</x:v>
      </x:c>
      <x:c r="D5" s="41"/>
      <x:c r="E5" s="46" t="n">
        <x:f>SUM('Monthly KPI'!C2:C7)</x:f>
        <x:v>804</x:v>
      </x:c>
      <x:c r="F5" s="41"/>
      <x:c r="G5" s="50" t="n">
        <x:f>IFERROR(E5/A5,0)</x:f>
        <x:v>0.1586737714624038</x:v>
      </x:c>
      <x:c r="H5" s="41"/>
      <x:c r="I5" s="46" t="n">
        <x:f>SUM('Monthly KPI'!I2:I7)</x:f>
        <x:v>15</x:v>
      </x:c>
      <x:c r="J5" s="41"/>
      <x:c r="K5" s="46" t="n">
        <x:f>SUM('Data Quality'!B2:B7)</x:f>
        <x:v>24</x:v>
      </x:c>
      <x:c r="L5" s="41"/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</x:row>
    <x:row r="9" ht="31" customHeight="1">
      <x:c r="A9" s="53" t="str">
        <x:v>Flagged transactions are DISTINCT; scenario hits may overlap. Review indicators are illustrative, not regulatory thresholds.</x:v>
      </x:c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</x:row>
    <x:row r="45" ht="25" customHeight="1">
      <x:c r="A45" s="3" t="str">
        <x:v>HOW TO READ THIS DASHBOARD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56" t="str">
        <x:v>1  Monthly review flags are customer-month indicators, not transaction alerts.</x:v>
      </x:c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</x:row>
    <x:row r="47" ht="24" customHeight="1">
      <x:c r="A47" s="58" t="str">
        <x:v>2  Cross-border is contextual data, not a prohibited-jurisdiction conclusion.</x:v>
      </x:c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</x:row>
    <x:row r="48" ht="24" customHeight="1">
      <x:c r="A48" s="56" t="str">
        <x:v>3  Explore data tabs for denominators, scenario-hit counts and review queues.</x:v>
      </x:c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</x:row>
    <x:row r="49" ht="24" customHeight="1">
      <x:c r="A49" s="58" t="str">
        <x:v>4  SQL/Python source, independent tests and Power BI model are included.</x:v>
      </x:c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</x:row>
  </x:sheetData>
  <x:mergeCells>
    <x:mergeCell ref="A1:L2"/>
    <x:mergeCell ref="A3:L3"/>
    <x:mergeCell ref="A4:B4"/>
    <x:mergeCell ref="A5:B7"/>
    <x:mergeCell ref="C4:D4"/>
    <x:mergeCell ref="C5:D7"/>
    <x:mergeCell ref="E4:F4"/>
    <x:mergeCell ref="E5:F7"/>
    <x:mergeCell ref="G4:H4"/>
    <x:mergeCell ref="G5:H7"/>
    <x:mergeCell ref="I4:J4"/>
    <x:mergeCell ref="I5:J7"/>
    <x:mergeCell ref="K4:L4"/>
    <x:mergeCell ref="K5:L7"/>
    <x:mergeCell ref="A9:L9"/>
    <x:mergeCell ref="A45:L45"/>
    <x:mergeCell ref="A46:L46"/>
    <x:mergeCell ref="A47:L47"/>
    <x:mergeCell ref="A48:L48"/>
    <x:mergeCell ref="A49:L49"/>
  </x:mergeCells>
  <x:pageMargins left="0.7" right="0.7" top="0.75" bottom="0.75" header="0.3" footer="0.3"/>
  <x:drawing xmlns:r="http://schemas.openxmlformats.org/officeDocument/2006/relationships" r:id="R0ab937a6bbf34b0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1" customHeight="1">
      <x:c r="A1" s="5" t="str">
        <x:v>Month</x:v>
      </x:c>
      <x:c r="B1" s="5" t="str">
        <x:v>Transactions</x:v>
      </x:c>
      <x:c r="C1" s="5" t="str">
        <x:v>Flagged transactions</x:v>
      </x:c>
      <x:c r="D1" s="5" t="str">
        <x:v>Rule hits</x:v>
      </x:c>
      <x:c r="E1" s="5" t="str">
        <x:v>Inflow USD</x:v>
      </x:c>
      <x:c r="F1" s="5" t="str">
        <x:v>Outflow USD</x:v>
      </x:c>
      <x:c r="G1" s="5" t="str">
        <x:v>Gross volume USD</x:v>
      </x:c>
      <x:c r="H1" s="5" t="str">
        <x:v>Active customers</x:v>
      </x:c>
      <x:c r="I1" s="5" t="str">
        <x:v>Customer-month flags</x:v>
      </x:c>
      <x:c r="J1" s="5" t="str">
        <x:v>Alert rate</x:v>
      </x:c>
    </x:row>
    <x:row r="2">
      <x:c r="A2" t="str">
        <x:v>2026-04</x:v>
      </x:c>
      <x:c r="B2" t="n">
        <x:v>856</x:v>
      </x:c>
      <x:c r="C2" t="n">
        <x:v>138</x:v>
      </x:c>
      <x:c r="D2" t="n">
        <x:v>148</x:v>
      </x:c>
      <x:c r="E2" s="10" t="n">
        <x:v>4856281.31</x:v>
      </x:c>
      <x:c r="F2" s="10" t="n">
        <x:v>4606380.95</x:v>
      </x:c>
      <x:c r="G2" s="10" t="n">
        <x:v>9462662.26</x:v>
      </x:c>
      <x:c r="H2" t="n">
        <x:v>140</x:v>
      </x:c>
      <x:c r="I2" t="n">
        <x:v>2</x:v>
      </x:c>
      <x:c r="J2" s="12" t="n">
        <x:f>IFERROR(C2/B2,0)</x:f>
        <x:v>0.16121495327102803</x:v>
      </x:c>
    </x:row>
    <x:row r="3">
      <x:c r="A3" t="str">
        <x:v>2026-05</x:v>
      </x:c>
      <x:c r="B3" t="n">
        <x:v>803</x:v>
      </x:c>
      <x:c r="C3" t="n">
        <x:v>141</x:v>
      </x:c>
      <x:c r="D3" t="n">
        <x:v>164</x:v>
      </x:c>
      <x:c r="E3" s="10" t="n">
        <x:v>5186040.48</x:v>
      </x:c>
      <x:c r="F3" s="10" t="n">
        <x:v>4970899.76</x:v>
      </x:c>
      <x:c r="G3" s="10" t="n">
        <x:v>10156940.24</x:v>
      </x:c>
      <x:c r="H3" t="n">
        <x:v>140</x:v>
      </x:c>
      <x:c r="I3" t="n">
        <x:v>2</x:v>
      </x:c>
      <x:c r="J3" s="12" t="n">
        <x:f>IFERROR(C3/B3,0)</x:f>
        <x:v>0.17559153175591533</x:v>
      </x:c>
    </x:row>
    <x:row r="4">
      <x:c r="A4" t="str">
        <x:v>2026-06</x:v>
      </x:c>
      <x:c r="B4" t="n">
        <x:v>878</x:v>
      </x:c>
      <x:c r="C4" t="n">
        <x:v>132</x:v>
      </x:c>
      <x:c r="D4" t="n">
        <x:v>143</x:v>
      </x:c>
      <x:c r="E4" s="10" t="n">
        <x:v>4514818.55</x:v>
      </x:c>
      <x:c r="F4" s="10" t="n">
        <x:v>4924667.73</x:v>
      </x:c>
      <x:c r="G4" s="10" t="n">
        <x:v>9439486.28</x:v>
      </x:c>
      <x:c r="H4" t="n">
        <x:v>140</x:v>
      </x:c>
      <x:c r="I4" t="n">
        <x:v>1</x:v>
      </x:c>
      <x:c r="J4" s="12" t="n">
        <x:f>IFERROR(C4/B4,0)</x:f>
        <x:v>0.15034168564920272</x:v>
      </x:c>
    </x:row>
    <x:row r="5">
      <x:c r="A5" t="str">
        <x:v>2026-07</x:v>
      </x:c>
      <x:c r="B5" t="n">
        <x:v>836</x:v>
      </x:c>
      <x:c r="C5" t="n">
        <x:v>130</x:v>
      </x:c>
      <x:c r="D5" t="n">
        <x:v>150</x:v>
      </x:c>
      <x:c r="E5" s="10" t="n">
        <x:v>4926699.57</x:v>
      </x:c>
      <x:c r="F5" s="10" t="n">
        <x:v>4562622.93</x:v>
      </x:c>
      <x:c r="G5" s="10" t="n">
        <x:v>9489322.5</x:v>
      </x:c>
      <x:c r="H5" t="n">
        <x:v>140</x:v>
      </x:c>
      <x:c r="I5" t="n">
        <x:v>1</x:v>
      </x:c>
      <x:c r="J5" s="12" t="n">
        <x:f>IFERROR(C5/B5,0)</x:f>
        <x:v>0.15550239234449761</x:v>
      </x:c>
    </x:row>
    <x:row r="6">
      <x:c r="A6" t="str">
        <x:v>2026-08</x:v>
      </x:c>
      <x:c r="B6" t="n">
        <x:v>832</x:v>
      </x:c>
      <x:c r="C6" t="n">
        <x:v>129</x:v>
      </x:c>
      <x:c r="D6" t="n">
        <x:v>146</x:v>
      </x:c>
      <x:c r="E6" s="10" t="n">
        <x:v>4931565.31</x:v>
      </x:c>
      <x:c r="F6" s="10" t="n">
        <x:v>5201965.03</x:v>
      </x:c>
      <x:c r="G6" s="10" t="n">
        <x:v>10133530.34</x:v>
      </x:c>
      <x:c r="H6" t="n">
        <x:v>140</x:v>
      </x:c>
      <x:c r="I6" t="n">
        <x:v>4</x:v>
      </x:c>
      <x:c r="J6" s="12" t="n">
        <x:f>IFERROR(C6/B6,0)</x:f>
        <x:v>0.15504807692307693</x:v>
      </x:c>
    </x:row>
    <x:row r="7">
      <x:c r="A7" t="str">
        <x:v>2026-09</x:v>
      </x:c>
      <x:c r="B7" t="n">
        <x:v>862</x:v>
      </x:c>
      <x:c r="C7" t="n">
        <x:v>134</x:v>
      </x:c>
      <x:c r="D7" t="n">
        <x:v>155</x:v>
      </x:c>
      <x:c r="E7" s="10" t="n">
        <x:v>5432434.27</x:v>
      </x:c>
      <x:c r="F7" s="10" t="n">
        <x:v>4661310.69</x:v>
      </x:c>
      <x:c r="G7" s="10" t="n">
        <x:v>10093744.96</x:v>
      </x:c>
      <x:c r="H7" t="n">
        <x:v>140</x:v>
      </x:c>
      <x:c r="I7" t="n">
        <x:v>5</x:v>
      </x:c>
      <x:c r="J7" s="12" t="n">
        <x:f>IFERROR(C7/B7,0)</x:f>
        <x:v>0.1554524361948956</x:v>
      </x:c>
    </x:row>
  </x:sheetData>
  <x:pageMargins left="0.7" right="0.7" top="0.75" bottom="0.75" header="0.3" footer="0.3"/>
  <x:tableParts count="1">
    <x:tablePart xmlns:r="http://schemas.openxmlformats.org/officeDocument/2006/relationships" r:id="R813ea8217f8e413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1" customHeight="1">
      <x:c r="A1" s="5" t="str">
        <x:v>Scenario code</x:v>
      </x:c>
      <x:c r="B1" s="5" t="str">
        <x:v>Scenario hits</x:v>
      </x:c>
      <x:c r="C1" s="5" t="str">
        <x:v>Customers hit</x:v>
      </x:c>
      <x:c r="D1" s="5" t="str">
        <x:v>Hit value USD</x:v>
      </x:c>
    </x:row>
    <x:row r="2">
      <x:c r="A2" t="str">
        <x:v>CROSS_BORDER_WIRE</x:v>
      </x:c>
      <x:c r="B2" t="n">
        <x:v>345</x:v>
      </x:c>
      <x:c r="C2" t="n">
        <x:v>91</x:v>
      </x:c>
      <x:c r="D2" s="10" t="n">
        <x:v>9572519.16</x:v>
      </x:c>
    </x:row>
    <x:row r="3">
      <x:c r="A3" t="str">
        <x:v>CASH_AMOUNT_REVIEW</x:v>
      </x:c>
      <x:c r="B3" t="n">
        <x:v>319</x:v>
      </x:c>
      <x:c r="C3" t="n">
        <x:v>100</x:v>
      </x:c>
      <x:c r="D3" s="10" t="n">
        <x:v>3470046.26</x:v>
      </x:c>
    </x:row>
    <x:row r="4">
      <x:c r="A4" t="str">
        <x:v>LARGE_WIRE</x:v>
      </x:c>
      <x:c r="B4" t="n">
        <x:v>191</x:v>
      </x:c>
      <x:c r="C4" t="n">
        <x:v>69</x:v>
      </x:c>
      <x:c r="D4" s="10" t="n">
        <x:v>9665068.9</x:v>
      </x:c>
    </x:row>
    <x:row r="5">
      <x:c r="A5" t="str">
        <x:v>LARGE_OUTBOUND_ACH</x:v>
      </x:c>
      <x:c r="B5" t="n">
        <x:v>51</x:v>
      </x:c>
      <x:c r="C5" t="n">
        <x:v>33</x:v>
      </x:c>
      <x:c r="D5" s="10" t="n">
        <x:v>3453933.19</x:v>
      </x:c>
    </x:row>
  </x:sheetData>
  <x:pageMargins left="0.7" right="0.7" top="0.75" bottom="0.75" header="0.3" footer="0.3"/>
  <x:tableParts count="1">
    <x:tablePart xmlns:r="http://schemas.openxmlformats.org/officeDocument/2006/relationships" r:id="R1e9a3a4cfd6f4ad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1" customHeight="1">
      <x:c r="A1" s="5" t="str">
        <x:v>Segment</x:v>
      </x:c>
      <x:c r="B1" s="5" t="str">
        <x:v>Transactions</x:v>
      </x:c>
      <x:c r="C1" s="5" t="str">
        <x:v>Flagged transactions</x:v>
      </x:c>
      <x:c r="D1" s="5" t="str">
        <x:v>Gross volume USD</x:v>
      </x:c>
      <x:c r="E1" s="5" t="str">
        <x:v>Active customers</x:v>
      </x:c>
      <x:c r="F1" s="5" t="str">
        <x:v>Alert rate</x:v>
      </x:c>
    </x:row>
    <x:row r="2">
      <x:c r="A2" t="str">
        <x:v>CORPORATE</x:v>
      </x:c>
      <x:c r="B2" t="n">
        <x:v>1677</x:v>
      </x:c>
      <x:c r="C2" t="n">
        <x:v>575</x:v>
      </x:c>
      <x:c r="D2" s="10" t="n">
        <x:v>35403174.88</x:v>
      </x:c>
      <x:c r="E2" t="n">
        <x:v>46</x:v>
      </x:c>
      <x:c r="F2" s="12" t="n">
        <x:f>IFERROR(C2/B2,0)</x:f>
        <x:v>0.3428741800834824</x:v>
      </x:c>
    </x:row>
    <x:row r="3">
      <x:c r="A3" t="str">
        <x:v>RETAIL</x:v>
      </x:c>
      <x:c r="B3" t="n">
        <x:v>1718</x:v>
      </x:c>
      <x:c r="C3" t="n">
        <x:v>23</x:v>
      </x:c>
      <x:c r="D3" s="10" t="n">
        <x:v>6505632.53</x:v>
      </x:c>
      <x:c r="E3" t="n">
        <x:v>47</x:v>
      </x:c>
      <x:c r="F3" s="12" t="n">
        <x:f>IFERROR(C3/B3,0)</x:f>
        <x:v>0.01338766006984866</x:v>
      </x:c>
    </x:row>
    <x:row r="4">
      <x:c r="A4" t="str">
        <x:v>SME</x:v>
      </x:c>
      <x:c r="B4" t="n">
        <x:v>1672</x:v>
      </x:c>
      <x:c r="C4" t="n">
        <x:v>206</x:v>
      </x:c>
      <x:c r="D4" s="10" t="n">
        <x:v>16866879.17</x:v>
      </x:c>
      <x:c r="E4" t="n">
        <x:v>47</x:v>
      </x:c>
      <x:c r="F4" s="12" t="n">
        <x:f>IFERROR(C4/B4,0)</x:f>
        <x:v>0.12320574162679426</x:v>
      </x:c>
    </x:row>
  </x:sheetData>
  <x:pageMargins left="0.7" right="0.7" top="0.75" bottom="0.75" header="0.3" footer="0.3"/>
  <x:tableParts count="1">
    <x:tablePart xmlns:r="http://schemas.openxmlformats.org/officeDocument/2006/relationships" r:id="R6151c3e1cb8a4b0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1" customHeight="1">
      <x:c r="A1" s="5" t="str">
        <x:v>Channel</x:v>
      </x:c>
      <x:c r="B1" s="5" t="str">
        <x:v>Transactions</x:v>
      </x:c>
      <x:c r="C1" s="5" t="str">
        <x:v>Flagged transactions</x:v>
      </x:c>
      <x:c r="D1" s="5" t="str">
        <x:v>Gross volume USD</x:v>
      </x:c>
      <x:c r="E1" s="5" t="str">
        <x:v>Alert rate</x:v>
      </x:c>
    </x:row>
    <x:row r="2">
      <x:c r="A2" t="str">
        <x:v>ACH</x:v>
      </x:c>
      <x:c r="B2" t="n">
        <x:v>1686</x:v>
      </x:c>
      <x:c r="C2" t="n">
        <x:v>51</x:v>
      </x:c>
      <x:c r="D2" s="10" t="n">
        <x:v>24074886.89</x:v>
      </x:c>
      <x:c r="E2" s="12" t="n">
        <x:f>IFERROR(C2/B2,0)</x:f>
        <x:v>0.030249110320284697</x:v>
      </x:c>
    </x:row>
    <x:row r="3">
      <x:c r="A3" t="str">
        <x:v>WIRE</x:v>
      </x:c>
      <x:c r="B3" t="n">
        <x:v>1675</x:v>
      </x:c>
      <x:c r="C3" t="n">
        <x:v>434</x:v>
      </x:c>
      <x:c r="D3" s="10" t="n">
        <x:v>23429686.76</x:v>
      </x:c>
      <x:c r="E3" s="12" t="n">
        <x:f>IFERROR(C3/B3,0)</x:f>
        <x:v>0.2591044776119403</x:v>
      </x:c>
    </x:row>
    <x:row r="4">
      <x:c r="A4" t="str">
        <x:v>CARD</x:v>
      </x:c>
      <x:c r="B4" t="n">
        <x:v>846</x:v>
      </x:c>
      <x:c r="C4" t="n">
        <x:v>0</x:v>
      </x:c>
      <x:c r="D4" s="10" t="n">
        <x:v>5778519.8</x:v>
      </x:c>
      <x:c r="E4" s="12" t="n">
        <x:f>IFERROR(C4/B4,0)</x:f>
        <x:v>0</x:v>
      </x:c>
    </x:row>
    <x:row r="5">
      <x:c r="A5" t="str">
        <x:v>CASH</x:v>
      </x:c>
      <x:c r="B5" t="n">
        <x:v>860</x:v>
      </x:c>
      <x:c r="C5" t="n">
        <x:v>319</x:v>
      </x:c>
      <x:c r="D5" s="10" t="n">
        <x:v>5492593.13</x:v>
      </x:c>
      <x:c r="E5" s="12" t="n">
        <x:f>IFERROR(C5/B5,0)</x:f>
        <x:v>0.37093023255813956</x:v>
      </x:c>
    </x:row>
  </x:sheetData>
  <x:pageMargins left="0.7" right="0.7" top="0.75" bottom="0.75" header="0.3" footer="0.3"/>
  <x:tableParts count="1">
    <x:tablePart xmlns:r="http://schemas.openxmlformats.org/officeDocument/2006/relationships" r:id="Rccd785703a2a40c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1" customHeight="1">
      <x:c r="A1" s="5" t="str">
        <x:v>Customer ID</x:v>
      </x:c>
      <x:c r="B1" s="5" t="str">
        <x:v>Synthetic customer</x:v>
      </x:c>
      <x:c r="C1" s="5" t="str">
        <x:v>Segment</x:v>
      </x:c>
      <x:c r="D1" s="5" t="str">
        <x:v>Risk tier</x:v>
      </x:c>
      <x:c r="E1" s="5" t="str">
        <x:v>Month</x:v>
      </x:c>
      <x:c r="F1" s="5" t="str">
        <x:v>Transactions</x:v>
      </x:c>
      <x:c r="G1" s="5" t="str">
        <x:v>Inflow USD</x:v>
      </x:c>
      <x:c r="H1" s="5" t="str">
        <x:v>Outflow USD</x:v>
      </x:c>
      <x:c r="I1" s="5" t="str">
        <x:v>Gross volume USD</x:v>
      </x:c>
      <x:c r="J1" s="5" t="str">
        <x:v>Expected monthly USD</x:v>
      </x:c>
      <x:c r="K1" s="5" t="str">
        <x:v>Review flags</x:v>
      </x:c>
    </x:row>
    <x:row r="2">
      <x:c r="A2" t="str">
        <x:v>C0102</x:v>
      </x:c>
      <x:c r="B2" t="str">
        <x:v>Synthetic Customer 102</x:v>
      </x:c>
      <x:c r="C2" t="str">
        <x:v>CORPORATE</x:v>
      </x:c>
      <x:c r="D2" t="str">
        <x:v>LOW</x:v>
      </x:c>
      <x:c r="E2" t="str">
        <x:v>2026-08</x:v>
      </x:c>
      <x:c r="F2" t="n">
        <x:v>7</x:v>
      </x:c>
      <x:c r="G2" s="10" t="n">
        <x:v>116632.32</x:v>
      </x:c>
      <x:c r="H2" s="10" t="n">
        <x:v>355977.46</x:v>
      </x:c>
      <x:c r="I2" s="10" t="n">
        <x:v>472609.78</x:v>
      </x:c>
      <x:c r="J2" s="10" t="n">
        <x:v>165775.94</x:v>
      </x:c>
      <x:c r="K2" t="n">
        <x:v>1</x:v>
      </x:c>
    </x:row>
    <x:row r="3">
      <x:c r="A3" t="str">
        <x:v>C0051</x:v>
      </x:c>
      <x:c r="B3" t="str">
        <x:v>Synthetic Customer 051</x:v>
      </x:c>
      <x:c r="C3" t="str">
        <x:v>CORPORATE</x:v>
      </x:c>
      <x:c r="D3" t="str">
        <x:v>MEDIUM</x:v>
      </x:c>
      <x:c r="E3" t="str">
        <x:v>2026-05</x:v>
      </x:c>
      <x:c r="F3" t="n">
        <x:v>9</x:v>
      </x:c>
      <x:c r="G3" s="10" t="n">
        <x:v>35509.65</x:v>
      </x:c>
      <x:c r="H3" s="10" t="n">
        <x:v>434315.02</x:v>
      </x:c>
      <x:c r="I3" s="10" t="n">
        <x:v>469824.67</x:v>
      </x:c>
      <x:c r="J3" s="10" t="n">
        <x:v>140536</x:v>
      </x:c>
      <x:c r="K3" t="n">
        <x:v>1</x:v>
      </x:c>
    </x:row>
    <x:row r="4">
      <x:c r="A4" t="str">
        <x:v>C0119</x:v>
      </x:c>
      <x:c r="B4" t="str">
        <x:v>Synthetic Customer 119</x:v>
      </x:c>
      <x:c r="C4" t="str">
        <x:v>SME</x:v>
      </x:c>
      <x:c r="D4" t="str">
        <x:v>LOW</x:v>
      </x:c>
      <x:c r="E4" t="str">
        <x:v>2026-08</x:v>
      </x:c>
      <x:c r="F4" t="n">
        <x:v>6</x:v>
      </x:c>
      <x:c r="G4" s="10" t="n">
        <x:v>146865.38</x:v>
      </x:c>
      <x:c r="H4" s="10" t="n">
        <x:v>39204.29</x:v>
      </x:c>
      <x:c r="I4" s="10" t="n">
        <x:v>186069.67</x:v>
      </x:c>
      <x:c r="J4" s="10" t="n">
        <x:v>71142.33</x:v>
      </x:c>
      <x:c r="K4" t="n">
        <x:v>1</x:v>
      </x:c>
    </x:row>
    <x:row r="5">
      <x:c r="A5" t="str">
        <x:v>C0030</x:v>
      </x:c>
      <x:c r="B5" t="str">
        <x:v>Synthetic Customer 030</x:v>
      </x:c>
      <x:c r="C5" t="str">
        <x:v>CORPORATE</x:v>
      </x:c>
      <x:c r="D5" t="str">
        <x:v>MEDIUM</x:v>
      </x:c>
      <x:c r="E5" t="str">
        <x:v>2026-09</x:v>
      </x:c>
      <x:c r="F5" t="n">
        <x:v>7</x:v>
      </x:c>
      <x:c r="G5" s="10" t="n">
        <x:v>80558.24</x:v>
      </x:c>
      <x:c r="H5" s="10" t="n">
        <x:v>87347.08</x:v>
      </x:c>
      <x:c r="I5" s="10" t="n">
        <x:v>167905.32</x:v>
      </x:c>
      <x:c r="J5" s="10" t="n">
        <x:v>173304.52</x:v>
      </x:c>
      <x:c r="K5" t="n">
        <x:v>1</x:v>
      </x:c>
    </x:row>
    <x:row r="6">
      <x:c r="A6" t="str">
        <x:v>C0068</x:v>
      </x:c>
      <x:c r="B6" t="str">
        <x:v>Synthetic Customer 068</x:v>
      </x:c>
      <x:c r="C6" t="str">
        <x:v>SME</x:v>
      </x:c>
      <x:c r="D6" t="str">
        <x:v>MEDIUM</x:v>
      </x:c>
      <x:c r="E6" t="str">
        <x:v>2026-08</x:v>
      </x:c>
      <x:c r="F6" t="n">
        <x:v>9</x:v>
      </x:c>
      <x:c r="G6" s="10" t="n">
        <x:v>122393.73</x:v>
      </x:c>
      <x:c r="H6" s="10" t="n">
        <x:v>29325.71</x:v>
      </x:c>
      <x:c r="I6" s="10" t="n">
        <x:v>151719.44</x:v>
      </x:c>
      <x:c r="J6" s="10" t="n">
        <x:v>59418.7</x:v>
      </x:c>
      <x:c r="K6" t="n">
        <x:v>1</x:v>
      </x:c>
    </x:row>
    <x:row r="7">
      <x:c r="A7" t="str">
        <x:v>C0081</x:v>
      </x:c>
      <x:c r="B7" t="str">
        <x:v>Synthetic Customer 081</x:v>
      </x:c>
      <x:c r="C7" t="str">
        <x:v>CORPORATE</x:v>
      </x:c>
      <x:c r="D7" t="str">
        <x:v>LOW</x:v>
      </x:c>
      <x:c r="E7" t="str">
        <x:v>2026-09</x:v>
      </x:c>
      <x:c r="F7" t="n">
        <x:v>9</x:v>
      </x:c>
      <x:c r="G7" s="10" t="n">
        <x:v>74353.52</x:v>
      </x:c>
      <x:c r="H7" s="10" t="n">
        <x:v>69211.25</x:v>
      </x:c>
      <x:c r="I7" s="10" t="n">
        <x:v>143564.77</x:v>
      </x:c>
      <x:c r="J7" s="10" t="n">
        <x:v>178683.81</x:v>
      </x:c>
      <x:c r="K7" t="n">
        <x:v>1</x:v>
      </x:c>
    </x:row>
    <x:row r="8">
      <x:c r="A8" t="str">
        <x:v>C0006</x:v>
      </x:c>
      <x:c r="B8" t="str">
        <x:v>Synthetic Customer 006</x:v>
      </x:c>
      <x:c r="C8" t="str">
        <x:v>CORPORATE</x:v>
      </x:c>
      <x:c r="D8" t="str">
        <x:v>MEDIUM</x:v>
      </x:c>
      <x:c r="E8" t="str">
        <x:v>2026-09</x:v>
      </x:c>
      <x:c r="F8" t="n">
        <x:v>3</x:v>
      </x:c>
      <x:c r="G8" s="10" t="n">
        <x:v>65159.92</x:v>
      </x:c>
      <x:c r="H8" s="10" t="n">
        <x:v>65886.24</x:v>
      </x:c>
      <x:c r="I8" s="10" t="n">
        <x:v>131046.16</x:v>
      </x:c>
      <x:c r="J8" s="10" t="n">
        <x:v>176899.32</x:v>
      </x:c>
      <x:c r="K8" t="n">
        <x:v>1</x:v>
      </x:c>
    </x:row>
    <x:row r="9">
      <x:c r="A9" t="str">
        <x:v>C0072</x:v>
      </x:c>
      <x:c r="B9" t="str">
        <x:v>Synthetic Customer 072</x:v>
      </x:c>
      <x:c r="C9" t="str">
        <x:v>CORPORATE</x:v>
      </x:c>
      <x:c r="D9" t="str">
        <x:v>MEDIUM</x:v>
      </x:c>
      <x:c r="E9" t="str">
        <x:v>2026-04</x:v>
      </x:c>
      <x:c r="F9" t="n">
        <x:v>7</x:v>
      </x:c>
      <x:c r="G9" s="10" t="n">
        <x:v>63206.97</x:v>
      </x:c>
      <x:c r="H9" s="10" t="n">
        <x:v>57181.02</x:v>
      </x:c>
      <x:c r="I9" s="10" t="n">
        <x:v>120387.99</x:v>
      </x:c>
      <x:c r="J9" s="10" t="n">
        <x:v>167333.54</x:v>
      </x:c>
      <x:c r="K9" t="n">
        <x:v>1</x:v>
      </x:c>
    </x:row>
    <x:row r="10">
      <x:c r="A10" t="str">
        <x:v>C0093</x:v>
      </x:c>
      <x:c r="B10" t="str">
        <x:v>Synthetic Customer 093</x:v>
      </x:c>
      <x:c r="C10" t="str">
        <x:v>CORPORATE</x:v>
      </x:c>
      <x:c r="D10" t="str">
        <x:v>LOW</x:v>
      </x:c>
      <x:c r="E10" t="str">
        <x:v>2026-06</x:v>
      </x:c>
      <x:c r="F10" t="n">
        <x:v>6</x:v>
      </x:c>
      <x:c r="G10" s="10" t="n">
        <x:v>61658.45</x:v>
      </x:c>
      <x:c r="H10" s="10" t="n">
        <x:v>56048.89</x:v>
      </x:c>
      <x:c r="I10" s="10" t="n">
        <x:v>117707.34</x:v>
      </x:c>
      <x:c r="J10" s="10" t="n">
        <x:v>205864.4</x:v>
      </x:c>
      <x:c r="K10" t="n">
        <x:v>1</x:v>
      </x:c>
    </x:row>
    <x:row r="11">
      <x:c r="A11" t="str">
        <x:v>C0087</x:v>
      </x:c>
      <x:c r="B11" t="str">
        <x:v>Synthetic Customer 087</x:v>
      </x:c>
      <x:c r="C11" t="str">
        <x:v>CORPORATE</x:v>
      </x:c>
      <x:c r="D11" t="str">
        <x:v>MEDIUM</x:v>
      </x:c>
      <x:c r="E11" t="str">
        <x:v>2026-07</x:v>
      </x:c>
      <x:c r="F11" t="n">
        <x:v>8</x:v>
      </x:c>
      <x:c r="G11" s="10" t="n">
        <x:v>58889.65</x:v>
      </x:c>
      <x:c r="H11" s="10" t="n">
        <x:v>55333.55</x:v>
      </x:c>
      <x:c r="I11" s="10" t="n">
        <x:v>114223.2</x:v>
      </x:c>
      <x:c r="J11" s="10" t="n">
        <x:v>202568.03</x:v>
      </x:c>
      <x:c r="K11" t="n">
        <x:v>1</x:v>
      </x:c>
    </x:row>
    <x:row r="12">
      <x:c r="A12" t="str">
        <x:v>C0129</x:v>
      </x:c>
      <x:c r="B12" t="str">
        <x:v>Synthetic Customer 129</x:v>
      </x:c>
      <x:c r="C12" t="str">
        <x:v>CORPORATE</x:v>
      </x:c>
      <x:c r="D12" t="str">
        <x:v>MEDIUM</x:v>
      </x:c>
      <x:c r="E12" t="str">
        <x:v>2026-09</x:v>
      </x:c>
      <x:c r="F12" t="n">
        <x:v>6</x:v>
      </x:c>
      <x:c r="G12" s="10" t="n">
        <x:v>55581.45</x:v>
      </x:c>
      <x:c r="H12" s="10" t="n">
        <x:v>58575.12</x:v>
      </x:c>
      <x:c r="I12" s="10" t="n">
        <x:v>114156.57</x:v>
      </x:c>
      <x:c r="J12" s="10" t="n">
        <x:v>182880.26</x:v>
      </x:c>
      <x:c r="K12" t="n">
        <x:v>1</x:v>
      </x:c>
    </x:row>
    <x:row r="13">
      <x:c r="A13" t="str">
        <x:v>C0036</x:v>
      </x:c>
      <x:c r="B13" t="str">
        <x:v>Synthetic Customer 036</x:v>
      </x:c>
      <x:c r="C13" t="str">
        <x:v>CORPORATE</x:v>
      </x:c>
      <x:c r="D13" t="str">
        <x:v>LOW</x:v>
      </x:c>
      <x:c r="E13" t="str">
        <x:v>2026-04</x:v>
      </x:c>
      <x:c r="F13" t="n">
        <x:v>8</x:v>
      </x:c>
      <x:c r="G13" s="10" t="n">
        <x:v>53893.71</x:v>
      </x:c>
      <x:c r="H13" s="10" t="n">
        <x:v>54642.3</x:v>
      </x:c>
      <x:c r="I13" s="10" t="n">
        <x:v>108536.01</x:v>
      </x:c>
      <x:c r="J13" s="10" t="n">
        <x:v>151106.15</x:v>
      </x:c>
      <x:c r="K13" t="n">
        <x:v>1</x:v>
      </x:c>
    </x:row>
    <x:row r="14">
      <x:c r="A14" t="str">
        <x:v>C0003</x:v>
      </x:c>
      <x:c r="B14" t="str">
        <x:v>Synthetic Customer 003</x:v>
      </x:c>
      <x:c r="C14" t="str">
        <x:v>CORPORATE</x:v>
      </x:c>
      <x:c r="D14" t="str">
        <x:v>LOW</x:v>
      </x:c>
      <x:c r="E14" t="str">
        <x:v>2026-09</x:v>
      </x:c>
      <x:c r="F14" t="n">
        <x:v>3</x:v>
      </x:c>
      <x:c r="G14" s="10" t="n">
        <x:v>50297.33</x:v>
      </x:c>
      <x:c r="H14" s="10" t="n">
        <x:v>55082.21</x:v>
      </x:c>
      <x:c r="I14" s="10" t="n">
        <x:v>105379.54</x:v>
      </x:c>
      <x:c r="J14" s="10" t="n">
        <x:v>199958.52</x:v>
      </x:c>
      <x:c r="K14" t="n">
        <x:v>1</x:v>
      </x:c>
    </x:row>
    <x:row r="15">
      <x:c r="A15" t="str">
        <x:v>C0136</x:v>
      </x:c>
      <x:c r="B15" t="str">
        <x:v>Synthetic Customer 136</x:v>
      </x:c>
      <x:c r="C15" t="str">
        <x:v>RETAIL</x:v>
      </x:c>
      <x:c r="D15" t="str">
        <x:v>MEDIUM</x:v>
      </x:c>
      <x:c r="E15" t="str">
        <x:v>2026-05</x:v>
      </x:c>
      <x:c r="F15" t="n">
        <x:v>5</x:v>
      </x:c>
      <x:c r="G15" s="10" t="n">
        <x:v>0</x:v>
      </x:c>
      <x:c r="H15" s="10" t="n">
        <x:v>102619</x:v>
      </x:c>
      <x:c r="I15" s="10" t="n">
        <x:v>102619</x:v>
      </x:c>
      <x:c r="J15" s="10" t="n">
        <x:v>25200.69</x:v>
      </x:c>
      <x:c r="K15" t="n">
        <x:v>1</x:v>
      </x:c>
    </x:row>
    <x:row r="16">
      <x:c r="A16" t="str">
        <x:v>C0136</x:v>
      </x:c>
      <x:c r="B16" t="str">
        <x:v>Synthetic Customer 136</x:v>
      </x:c>
      <x:c r="C16" t="str">
        <x:v>RETAIL</x:v>
      </x:c>
      <x:c r="D16" t="str">
        <x:v>MEDIUM</x:v>
      </x:c>
      <x:c r="E16" t="str">
        <x:v>2026-08</x:v>
      </x:c>
      <x:c r="F16" t="n">
        <x:v>4</x:v>
      </x:c>
      <x:c r="G16" s="10" t="n">
        <x:v>79691.73</x:v>
      </x:c>
      <x:c r="H16" s="10" t="n">
        <x:v>12765.48</x:v>
      </x:c>
      <x:c r="I16" s="10" t="n">
        <x:v>92457.21</x:v>
      </x:c>
      <x:c r="J16" s="10" t="n">
        <x:v>25200.69</x:v>
      </x:c>
      <x:c r="K16" t="n">
        <x:v>1</x:v>
      </x:c>
    </x:row>
    <x:row r="17">
      <x:c r="A17" t="str">
        <x:v>C0039</x:v>
      </x:c>
      <x:c r="B17" t="str">
        <x:v>Synthetic Customer 039</x:v>
      </x:c>
      <x:c r="C17" t="str">
        <x:v>CORPORATE</x:v>
      </x:c>
      <x:c r="D17" t="str">
        <x:v>MEDIUM</x:v>
      </x:c>
      <x:c r="E17" t="str">
        <x:v>2026-04</x:v>
      </x:c>
      <x:c r="F17" t="n">
        <x:v>7</x:v>
      </x:c>
      <x:c r="G17" s="10" t="n">
        <x:v>82331.19</x:v>
      </x:c>
      <x:c r="H17" s="10" t="n">
        <x:v>274549.97</x:v>
      </x:c>
      <x:c r="I17" s="10" t="n">
        <x:v>356881.16</x:v>
      </x:c>
      <x:c r="J17" s="10" t="n">
        <x:v>229181.16</x:v>
      </x:c>
      <x:c r="K17" t="n">
        <x:v>0</x:v>
      </x:c>
    </x:row>
    <x:row r="18">
      <x:c r="A18" t="str">
        <x:v>C0039</x:v>
      </x:c>
      <x:c r="B18" t="str">
        <x:v>Synthetic Customer 039</x:v>
      </x:c>
      <x:c r="C18" t="str">
        <x:v>CORPORATE</x:v>
      </x:c>
      <x:c r="D18" t="str">
        <x:v>MEDIUM</x:v>
      </x:c>
      <x:c r="E18" t="str">
        <x:v>2026-09</x:v>
      </x:c>
      <x:c r="F18" t="n">
        <x:v>8</x:v>
      </x:c>
      <x:c r="G18" s="10" t="n">
        <x:v>218559.15</x:v>
      </x:c>
      <x:c r="H18" s="10" t="n">
        <x:v>101900.33</x:v>
      </x:c>
      <x:c r="I18" s="10" t="n">
        <x:v>320459.48</x:v>
      </x:c>
      <x:c r="J18" s="10" t="n">
        <x:v>229181.16</x:v>
      </x:c>
      <x:c r="K18" t="n">
        <x:v>0</x:v>
      </x:c>
    </x:row>
    <x:row r="19">
      <x:c r="A19" t="str">
        <x:v>C0027</x:v>
      </x:c>
      <x:c r="B19" t="str">
        <x:v>Synthetic Customer 027</x:v>
      </x:c>
      <x:c r="C19" t="str">
        <x:v>CORPORATE</x:v>
      </x:c>
      <x:c r="D19" t="str">
        <x:v>MEDIUM</x:v>
      </x:c>
      <x:c r="E19" t="str">
        <x:v>2026-08</x:v>
      </x:c>
      <x:c r="F19" t="n">
        <x:v>5</x:v>
      </x:c>
      <x:c r="G19" s="10" t="n">
        <x:v>24514.5</x:v>
      </x:c>
      <x:c r="H19" s="10" t="n">
        <x:v>256847.8</x:v>
      </x:c>
      <x:c r="I19" s="10" t="n">
        <x:v>281362.3</x:v>
      </x:c>
      <x:c r="J19" s="10" t="n">
        <x:v>209669.02</x:v>
      </x:c>
      <x:c r="K19" t="n">
        <x:v>0</x:v>
      </x:c>
    </x:row>
    <x:row r="20">
      <x:c r="A20" t="str">
        <x:v>C0021</x:v>
      </x:c>
      <x:c r="B20" t="str">
        <x:v>Synthetic Customer 021</x:v>
      </x:c>
      <x:c r="C20" t="str">
        <x:v>CORPORATE</x:v>
      </x:c>
      <x:c r="D20" t="str">
        <x:v>HIGH</x:v>
      </x:c>
      <x:c r="E20" t="str">
        <x:v>2026-05</x:v>
      </x:c>
      <x:c r="F20" t="n">
        <x:v>3</x:v>
      </x:c>
      <x:c r="G20" s="10" t="n">
        <x:v>191015.6</x:v>
      </x:c>
      <x:c r="H20" s="10" t="n">
        <x:v>64161.35</x:v>
      </x:c>
      <x:c r="I20" s="10" t="n">
        <x:v>255176.95</x:v>
      </x:c>
      <x:c r="J20" s="10" t="n">
        <x:v>158986.61</x:v>
      </x:c>
      <x:c r="K20" t="n">
        <x:v>0</x:v>
      </x:c>
    </x:row>
    <x:row r="21">
      <x:c r="A21" t="str">
        <x:v>C0120</x:v>
      </x:c>
      <x:c r="B21" t="str">
        <x:v>Synthetic Customer 120</x:v>
      </x:c>
      <x:c r="C21" t="str">
        <x:v>CORPORATE</x:v>
      </x:c>
      <x:c r="D21" t="str">
        <x:v>MEDIUM</x:v>
      </x:c>
      <x:c r="E21" t="str">
        <x:v>2026-05</x:v>
      </x:c>
      <x:c r="F21" t="n">
        <x:v>3</x:v>
      </x:c>
      <x:c r="G21" s="10" t="n">
        <x:v>238551.85</x:v>
      </x:c>
      <x:c r="H21" s="10" t="n">
        <x:v>0</x:v>
      </x:c>
      <x:c r="I21" s="10" t="n">
        <x:v>238551.85</x:v>
      </x:c>
      <x:c r="J21" s="10" t="n">
        <x:v>170618.68</x:v>
      </x:c>
      <x:c r="K21" t="n">
        <x:v>0</x:v>
      </x:c>
    </x:row>
    <x:row r="22">
      <x:c r="A22" t="str">
        <x:v>C0021</x:v>
      </x:c>
      <x:c r="B22" t="str">
        <x:v>Synthetic Customer 021</x:v>
      </x:c>
      <x:c r="C22" t="str">
        <x:v>CORPORATE</x:v>
      </x:c>
      <x:c r="D22" t="str">
        <x:v>HIGH</x:v>
      </x:c>
      <x:c r="E22" t="str">
        <x:v>2026-09</x:v>
      </x:c>
      <x:c r="F22" t="n">
        <x:v>8</x:v>
      </x:c>
      <x:c r="G22" s="10" t="n">
        <x:v>65294.45</x:v>
      </x:c>
      <x:c r="H22" s="10" t="n">
        <x:v>170886.41</x:v>
      </x:c>
      <x:c r="I22" s="10" t="n">
        <x:v>236180.86</x:v>
      </x:c>
      <x:c r="J22" s="10" t="n">
        <x:v>158986.61</x:v>
      </x:c>
      <x:c r="K22" t="n">
        <x:v>0</x:v>
      </x:c>
    </x:row>
    <x:row r="23">
      <x:c r="A23" t="str">
        <x:v>C0027</x:v>
      </x:c>
      <x:c r="B23" t="str">
        <x:v>Synthetic Customer 027</x:v>
      </x:c>
      <x:c r="C23" t="str">
        <x:v>CORPORATE</x:v>
      </x:c>
      <x:c r="D23" t="str">
        <x:v>MEDIUM</x:v>
      </x:c>
      <x:c r="E23" t="str">
        <x:v>2026-09</x:v>
      </x:c>
      <x:c r="F23" t="n">
        <x:v>8</x:v>
      </x:c>
      <x:c r="G23" s="10" t="n">
        <x:v>153339.94</x:v>
      </x:c>
      <x:c r="H23" s="10" t="n">
        <x:v>78817.99</x:v>
      </x:c>
      <x:c r="I23" s="10" t="n">
        <x:v>232157.93</x:v>
      </x:c>
      <x:c r="J23" s="10" t="n">
        <x:v>209669.02</x:v>
      </x:c>
      <x:c r="K23" t="n">
        <x:v>0</x:v>
      </x:c>
    </x:row>
    <x:row r="24">
      <x:c r="A24" t="str">
        <x:v>C0039</x:v>
      </x:c>
      <x:c r="B24" t="str">
        <x:v>Synthetic Customer 039</x:v>
      </x:c>
      <x:c r="C24" t="str">
        <x:v>CORPORATE</x:v>
      </x:c>
      <x:c r="D24" t="str">
        <x:v>MEDIUM</x:v>
      </x:c>
      <x:c r="E24" t="str">
        <x:v>2026-07</x:v>
      </x:c>
      <x:c r="F24" t="n">
        <x:v>9</x:v>
      </x:c>
      <x:c r="G24" s="10" t="n">
        <x:v>18955.64</x:v>
      </x:c>
      <x:c r="H24" s="10" t="n">
        <x:v>212181.28</x:v>
      </x:c>
      <x:c r="I24" s="10" t="n">
        <x:v>231136.92</x:v>
      </x:c>
      <x:c r="J24" s="10" t="n">
        <x:v>229181.16</x:v>
      </x:c>
      <x:c r="K24" t="n">
        <x:v>0</x:v>
      </x:c>
    </x:row>
    <x:row r="25">
      <x:c r="A25" t="str">
        <x:v>C0093</x:v>
      </x:c>
      <x:c r="B25" t="str">
        <x:v>Synthetic Customer 093</x:v>
      </x:c>
      <x:c r="C25" t="str">
        <x:v>CORPORATE</x:v>
      </x:c>
      <x:c r="D25" t="str">
        <x:v>LOW</x:v>
      </x:c>
      <x:c r="E25" t="str">
        <x:v>2026-07</x:v>
      </x:c>
      <x:c r="F25" t="n">
        <x:v>9</x:v>
      </x:c>
      <x:c r="G25" s="10" t="n">
        <x:v>67579.64</x:v>
      </x:c>
      <x:c r="H25" s="10" t="n">
        <x:v>154775.88</x:v>
      </x:c>
      <x:c r="I25" s="10" t="n">
        <x:v>222355.52</x:v>
      </x:c>
      <x:c r="J25" s="10" t="n">
        <x:v>205864.4</x:v>
      </x:c>
      <x:c r="K25" t="n">
        <x:v>0</x:v>
      </x:c>
    </x:row>
    <x:row r="26">
      <x:c r="A26" t="str">
        <x:v>C0105</x:v>
      </x:c>
      <x:c r="B26" t="str">
        <x:v>Synthetic Customer 105</x:v>
      </x:c>
      <x:c r="C26" t="str">
        <x:v>CORPORATE</x:v>
      </x:c>
      <x:c r="D26" t="str">
        <x:v>LOW</x:v>
      </x:c>
      <x:c r="E26" t="str">
        <x:v>2026-06</x:v>
      </x:c>
      <x:c r="F26" t="n">
        <x:v>5</x:v>
      </x:c>
      <x:c r="G26" s="10" t="n">
        <x:v>0</x:v>
      </x:c>
      <x:c r="H26" s="10" t="n">
        <x:v>220728.62</x:v>
      </x:c>
      <x:c r="I26" s="10" t="n">
        <x:v>220728.62</x:v>
      </x:c>
      <x:c r="J26" s="10" t="n">
        <x:v>231066.75</x:v>
      </x:c>
      <x:c r="K26" t="n">
        <x:v>0</x:v>
      </x:c>
    </x:row>
    <x:row r="27">
      <x:c r="A27" t="str">
        <x:v>C0003</x:v>
      </x:c>
      <x:c r="B27" t="str">
        <x:v>Synthetic Customer 003</x:v>
      </x:c>
      <x:c r="C27" t="str">
        <x:v>CORPORATE</x:v>
      </x:c>
      <x:c r="D27" t="str">
        <x:v>LOW</x:v>
      </x:c>
      <x:c r="E27" t="str">
        <x:v>2026-05</x:v>
      </x:c>
      <x:c r="F27" t="n">
        <x:v>6</x:v>
      </x:c>
      <x:c r="G27" s="10" t="n">
        <x:v>19987.91</x:v>
      </x:c>
      <x:c r="H27" s="10" t="n">
        <x:v>196118.32</x:v>
      </x:c>
      <x:c r="I27" s="10" t="n">
        <x:v>216106.23</x:v>
      </x:c>
      <x:c r="J27" s="10" t="n">
        <x:v>199958.52</x:v>
      </x:c>
      <x:c r="K27" t="n">
        <x:v>0</x:v>
      </x:c>
    </x:row>
    <x:row r="28">
      <x:c r="A28" t="str">
        <x:v>C0108</x:v>
      </x:c>
      <x:c r="B28" t="str">
        <x:v>Synthetic Customer 108</x:v>
      </x:c>
      <x:c r="C28" t="str">
        <x:v>CORPORATE</x:v>
      </x:c>
      <x:c r="D28" t="str">
        <x:v>MEDIUM</x:v>
      </x:c>
      <x:c r="E28" t="str">
        <x:v>2026-04</x:v>
      </x:c>
      <x:c r="F28" t="n">
        <x:v>6</x:v>
      </x:c>
      <x:c r="G28" s="10" t="n">
        <x:v>95520.82</x:v>
      </x:c>
      <x:c r="H28" s="10" t="n">
        <x:v>114484.96</x:v>
      </x:c>
      <x:c r="I28" s="10" t="n">
        <x:v>210005.78</x:v>
      </x:c>
      <x:c r="J28" s="10" t="n">
        <x:v>214664.72</x:v>
      </x:c>
      <x:c r="K28" t="n">
        <x:v>0</x:v>
      </x:c>
    </x:row>
    <x:row r="29">
      <x:c r="A29" t="str">
        <x:v>C0087</x:v>
      </x:c>
      <x:c r="B29" t="str">
        <x:v>Synthetic Customer 087</x:v>
      </x:c>
      <x:c r="C29" t="str">
        <x:v>CORPORATE</x:v>
      </x:c>
      <x:c r="D29" t="str">
        <x:v>MEDIUM</x:v>
      </x:c>
      <x:c r="E29" t="str">
        <x:v>2026-08</x:v>
      </x:c>
      <x:c r="F29" t="n">
        <x:v>6</x:v>
      </x:c>
      <x:c r="G29" s="10" t="n">
        <x:v>41922.32</x:v>
      </x:c>
      <x:c r="H29" s="10" t="n">
        <x:v>166207.14</x:v>
      </x:c>
      <x:c r="I29" s="10" t="n">
        <x:v>208129.46</x:v>
      </x:c>
      <x:c r="J29" s="10" t="n">
        <x:v>202568.03</x:v>
      </x:c>
      <x:c r="K29" t="n">
        <x:v>0</x:v>
      </x:c>
    </x:row>
    <x:row r="30">
      <x:c r="A30" t="str">
        <x:v>C0024</x:v>
      </x:c>
      <x:c r="B30" t="str">
        <x:v>Synthetic Customer 024</x:v>
      </x:c>
      <x:c r="C30" t="str">
        <x:v>CORPORATE</x:v>
      </x:c>
      <x:c r="D30" t="str">
        <x:v>LOW</x:v>
      </x:c>
      <x:c r="E30" t="str">
        <x:v>2026-09</x:v>
      </x:c>
      <x:c r="F30" t="n">
        <x:v>6</x:v>
      </x:c>
      <x:c r="G30" s="10" t="n">
        <x:v>91911.87</x:v>
      </x:c>
      <x:c r="H30" s="10" t="n">
        <x:v>115990.2</x:v>
      </x:c>
      <x:c r="I30" s="10" t="n">
        <x:v>207902.07</x:v>
      </x:c>
      <x:c r="J30" s="10" t="n">
        <x:v>203100.85</x:v>
      </x:c>
      <x:c r="K30" t="n">
        <x:v>0</x:v>
      </x:c>
    </x:row>
    <x:row r="31">
      <x:c r="A31" t="str">
        <x:v>C0081</x:v>
      </x:c>
      <x:c r="B31" t="str">
        <x:v>Synthetic Customer 081</x:v>
      </x:c>
      <x:c r="C31" t="str">
        <x:v>CORPORATE</x:v>
      </x:c>
      <x:c r="D31" t="str">
        <x:v>LOW</x:v>
      </x:c>
      <x:c r="E31" t="str">
        <x:v>2026-06</x:v>
      </x:c>
      <x:c r="F31" t="n">
        <x:v>5</x:v>
      </x:c>
      <x:c r="G31" s="10" t="n">
        <x:v>57587.35</x:v>
      </x:c>
      <x:c r="H31" s="10" t="n">
        <x:v>145149.33</x:v>
      </x:c>
      <x:c r="I31" s="10" t="n">
        <x:v>202736.68</x:v>
      </x:c>
      <x:c r="J31" s="10" t="n">
        <x:v>178683.81</x:v>
      </x:c>
      <x:c r="K31" t="n">
        <x:v>0</x:v>
      </x:c>
    </x:row>
    <x:row r="32">
      <x:c r="A32" t="str">
        <x:v>C0132</x:v>
      </x:c>
      <x:c r="B32" t="str">
        <x:v>Synthetic Customer 132</x:v>
      </x:c>
      <x:c r="C32" t="str">
        <x:v>CORPORATE</x:v>
      </x:c>
      <x:c r="D32" t="str">
        <x:v>MEDIUM</x:v>
      </x:c>
      <x:c r="E32" t="str">
        <x:v>2026-07</x:v>
      </x:c>
      <x:c r="F32" t="n">
        <x:v>3</x:v>
      </x:c>
      <x:c r="G32" s="10" t="n">
        <x:v>66705.07</x:v>
      </x:c>
      <x:c r="H32" s="10" t="n">
        <x:v>132653.21</x:v>
      </x:c>
      <x:c r="I32" s="10" t="n">
        <x:v>199358.28</x:v>
      </x:c>
      <x:c r="J32" s="10" t="n">
        <x:v>168628.32</x:v>
      </x:c>
      <x:c r="K32" t="n">
        <x:v>0</x:v>
      </x:c>
    </x:row>
    <x:row r="33">
      <x:c r="A33" t="str">
        <x:v>C0021</x:v>
      </x:c>
      <x:c r="B33" t="str">
        <x:v>Synthetic Customer 021</x:v>
      </x:c>
      <x:c r="C33" t="str">
        <x:v>CORPORATE</x:v>
      </x:c>
      <x:c r="D33" t="str">
        <x:v>HIGH</x:v>
      </x:c>
      <x:c r="E33" t="str">
        <x:v>2026-08</x:v>
      </x:c>
      <x:c r="F33" t="n">
        <x:v>4</x:v>
      </x:c>
      <x:c r="G33" s="10" t="n">
        <x:v>184133.39</x:v>
      </x:c>
      <x:c r="H33" s="10" t="n">
        <x:v>14992.43</x:v>
      </x:c>
      <x:c r="I33" s="10" t="n">
        <x:v>199125.82</x:v>
      </x:c>
      <x:c r="J33" s="10" t="n">
        <x:v>158986.61</x:v>
      </x:c>
      <x:c r="K33" t="n">
        <x:v>0</x:v>
      </x:c>
    </x:row>
    <x:row r="34">
      <x:c r="A34" t="str">
        <x:v>C0120</x:v>
      </x:c>
      <x:c r="B34" t="str">
        <x:v>Synthetic Customer 120</x:v>
      </x:c>
      <x:c r="C34" t="str">
        <x:v>CORPORATE</x:v>
      </x:c>
      <x:c r="D34" t="str">
        <x:v>MEDIUM</x:v>
      </x:c>
      <x:c r="E34" t="str">
        <x:v>2026-09</x:v>
      </x:c>
      <x:c r="F34" t="n">
        <x:v>8</x:v>
      </x:c>
      <x:c r="G34" s="10" t="n">
        <x:v>35413.8</x:v>
      </x:c>
      <x:c r="H34" s="10" t="n">
        <x:v>160733.39</x:v>
      </x:c>
      <x:c r="I34" s="10" t="n">
        <x:v>196147.19</x:v>
      </x:c>
      <x:c r="J34" s="10" t="n">
        <x:v>170618.68</x:v>
      </x:c>
      <x:c r="K34" t="n">
        <x:v>0</x:v>
      </x:c>
    </x:row>
    <x:row r="35">
      <x:c r="A35" t="str">
        <x:v>C0081</x:v>
      </x:c>
      <x:c r="B35" t="str">
        <x:v>Synthetic Customer 081</x:v>
      </x:c>
      <x:c r="C35" t="str">
        <x:v>CORPORATE</x:v>
      </x:c>
      <x:c r="D35" t="str">
        <x:v>LOW</x:v>
      </x:c>
      <x:c r="E35" t="str">
        <x:v>2026-08</x:v>
      </x:c>
      <x:c r="F35" t="n">
        <x:v>5</x:v>
      </x:c>
      <x:c r="G35" s="10" t="n">
        <x:v>193711.7</x:v>
      </x:c>
      <x:c r="H35" s="10" t="n">
        <x:v>0</x:v>
      </x:c>
      <x:c r="I35" s="10" t="n">
        <x:v>193711.7</x:v>
      </x:c>
      <x:c r="J35" s="10" t="n">
        <x:v>178683.81</x:v>
      </x:c>
      <x:c r="K35" t="n">
        <x:v>0</x:v>
      </x:c>
    </x:row>
    <x:row r="36">
      <x:c r="A36" t="str">
        <x:v>C0075</x:v>
      </x:c>
      <x:c r="B36" t="str">
        <x:v>Synthetic Customer 075</x:v>
      </x:c>
      <x:c r="C36" t="str">
        <x:v>CORPORATE</x:v>
      </x:c>
      <x:c r="D36" t="str">
        <x:v>MEDIUM</x:v>
      </x:c>
      <x:c r="E36" t="str">
        <x:v>2026-05</x:v>
      </x:c>
      <x:c r="F36" t="n">
        <x:v>6</x:v>
      </x:c>
      <x:c r="G36" s="10" t="n">
        <x:v>121294.06</x:v>
      </x:c>
      <x:c r="H36" s="10" t="n">
        <x:v>71842.17</x:v>
      </x:c>
      <x:c r="I36" s="10" t="n">
        <x:v>193136.23</x:v>
      </x:c>
      <x:c r="J36" s="10" t="n">
        <x:v>154775.8</x:v>
      </x:c>
      <x:c r="K36" t="n">
        <x:v>0</x:v>
      </x:c>
    </x:row>
    <x:row r="37">
      <x:c r="A37" t="str">
        <x:v>C0105</x:v>
      </x:c>
      <x:c r="B37" t="str">
        <x:v>Synthetic Customer 105</x:v>
      </x:c>
      <x:c r="C37" t="str">
        <x:v>CORPORATE</x:v>
      </x:c>
      <x:c r="D37" t="str">
        <x:v>LOW</x:v>
      </x:c>
      <x:c r="E37" t="str">
        <x:v>2026-08</x:v>
      </x:c>
      <x:c r="F37" t="n">
        <x:v>6</x:v>
      </x:c>
      <x:c r="G37" s="10" t="n">
        <x:v>154237.9</x:v>
      </x:c>
      <x:c r="H37" s="10" t="n">
        <x:v>35258.8</x:v>
      </x:c>
      <x:c r="I37" s="10" t="n">
        <x:v>189496.7</x:v>
      </x:c>
      <x:c r="J37" s="10" t="n">
        <x:v>231066.75</x:v>
      </x:c>
      <x:c r="K37" t="n">
        <x:v>0</x:v>
      </x:c>
    </x:row>
    <x:row r="38">
      <x:c r="A38" t="str">
        <x:v>C0108</x:v>
      </x:c>
      <x:c r="B38" t="str">
        <x:v>Synthetic Customer 108</x:v>
      </x:c>
      <x:c r="C38" t="str">
        <x:v>CORPORATE</x:v>
      </x:c>
      <x:c r="D38" t="str">
        <x:v>MEDIUM</x:v>
      </x:c>
      <x:c r="E38" t="str">
        <x:v>2026-07</x:v>
      </x:c>
      <x:c r="F38" t="n">
        <x:v>9</x:v>
      </x:c>
      <x:c r="G38" s="10" t="n">
        <x:v>14881.37</x:v>
      </x:c>
      <x:c r="H38" s="10" t="n">
        <x:v>174441.54</x:v>
      </x:c>
      <x:c r="I38" s="10" t="n">
        <x:v>189322.91</x:v>
      </x:c>
      <x:c r="J38" s="10" t="n">
        <x:v>214664.72</x:v>
      </x:c>
      <x:c r="K38" t="n">
        <x:v>0</x:v>
      </x:c>
    </x:row>
    <x:row r="39">
      <x:c r="A39" t="str">
        <x:v>C0081</x:v>
      </x:c>
      <x:c r="B39" t="str">
        <x:v>Synthetic Customer 081</x:v>
      </x:c>
      <x:c r="C39" t="str">
        <x:v>CORPORATE</x:v>
      </x:c>
      <x:c r="D39" t="str">
        <x:v>LOW</x:v>
      </x:c>
      <x:c r="E39" t="str">
        <x:v>2026-04</x:v>
      </x:c>
      <x:c r="F39" t="n">
        <x:v>4</x:v>
      </x:c>
      <x:c r="G39" s="10" t="n">
        <x:v>62565.48</x:v>
      </x:c>
      <x:c r="H39" s="10" t="n">
        <x:v>123467.89</x:v>
      </x:c>
      <x:c r="I39" s="10" t="n">
        <x:v>186033.37</x:v>
      </x:c>
      <x:c r="J39" s="10" t="n">
        <x:v>178683.81</x:v>
      </x:c>
      <x:c r="K39" t="n">
        <x:v>0</x:v>
      </x:c>
    </x:row>
    <x:row r="40">
      <x:c r="A40" t="str">
        <x:v>C0048</x:v>
      </x:c>
      <x:c r="B40" t="str">
        <x:v>Synthetic Customer 048</x:v>
      </x:c>
      <x:c r="C40" t="str">
        <x:v>CORPORATE</x:v>
      </x:c>
      <x:c r="D40" t="str">
        <x:v>LOW</x:v>
      </x:c>
      <x:c r="E40" t="str">
        <x:v>2026-04</x:v>
      </x:c>
      <x:c r="F40" t="n">
        <x:v>6</x:v>
      </x:c>
      <x:c r="G40" s="10" t="n">
        <x:v>57148.72</x:v>
      </x:c>
      <x:c r="H40" s="10" t="n">
        <x:v>128253.94</x:v>
      </x:c>
      <x:c r="I40" s="10" t="n">
        <x:v>185402.66</x:v>
      </x:c>
      <x:c r="J40" s="10" t="n">
        <x:v>218657.43</x:v>
      </x:c>
      <x:c r="K40" t="n">
        <x:v>0</x:v>
      </x:c>
    </x:row>
    <x:row r="41">
      <x:c r="A41" t="str">
        <x:v>C0048</x:v>
      </x:c>
      <x:c r="B41" t="str">
        <x:v>Synthetic Customer 048</x:v>
      </x:c>
      <x:c r="C41" t="str">
        <x:v>CORPORATE</x:v>
      </x:c>
      <x:c r="D41" t="str">
        <x:v>LOW</x:v>
      </x:c>
      <x:c r="E41" t="str">
        <x:v>2026-06</x:v>
      </x:c>
      <x:c r="F41" t="n">
        <x:v>6</x:v>
      </x:c>
      <x:c r="G41" s="10" t="n">
        <x:v>0</x:v>
      </x:c>
      <x:c r="H41" s="10" t="n">
        <x:v>185033.97</x:v>
      </x:c>
      <x:c r="I41" s="10" t="n">
        <x:v>185033.97</x:v>
      </x:c>
      <x:c r="J41" s="10" t="n">
        <x:v>218657.43</x:v>
      </x:c>
      <x:c r="K41" t="n">
        <x:v>0</x:v>
      </x:c>
    </x:row>
    <x:row r="42">
      <x:c r="A42" t="str">
        <x:v>C0078</x:v>
      </x:c>
      <x:c r="B42" t="str">
        <x:v>Synthetic Customer 078</x:v>
      </x:c>
      <x:c r="C42" t="str">
        <x:v>CORPORATE</x:v>
      </x:c>
      <x:c r="D42" t="str">
        <x:v>HIGH</x:v>
      </x:c>
      <x:c r="E42" t="str">
        <x:v>2026-06</x:v>
      </x:c>
      <x:c r="F42" t="n">
        <x:v>7</x:v>
      </x:c>
      <x:c r="G42" s="10" t="n">
        <x:v>118342.83</x:v>
      </x:c>
      <x:c r="H42" s="10" t="n">
        <x:v>64966.6</x:v>
      </x:c>
      <x:c r="I42" s="10" t="n">
        <x:v>183309.43</x:v>
      </x:c>
      <x:c r="J42" s="10" t="n">
        <x:v>208655.55</x:v>
      </x:c>
      <x:c r="K42" t="n">
        <x:v>0</x:v>
      </x:c>
    </x:row>
    <x:row r="43">
      <x:c r="A43" t="str">
        <x:v>C0066</x:v>
      </x:c>
      <x:c r="B43" t="str">
        <x:v>Synthetic Customer 066</x:v>
      </x:c>
      <x:c r="C43" t="str">
        <x:v>CORPORATE</x:v>
      </x:c>
      <x:c r="D43" t="str">
        <x:v>HIGH</x:v>
      </x:c>
      <x:c r="E43" t="str">
        <x:v>2026-07</x:v>
      </x:c>
      <x:c r="F43" t="n">
        <x:v>7</x:v>
      </x:c>
      <x:c r="G43" s="10" t="n">
        <x:v>10287.03</x:v>
      </x:c>
      <x:c r="H43" s="10" t="n">
        <x:v>172269.94</x:v>
      </x:c>
      <x:c r="I43" s="10" t="n">
        <x:v>182556.97</x:v>
      </x:c>
      <x:c r="J43" s="10" t="n">
        <x:v>158196.85</x:v>
      </x:c>
      <x:c r="K43" t="n">
        <x:v>0</x:v>
      </x:c>
    </x:row>
    <x:row r="44">
      <x:c r="A44" t="str">
        <x:v>C0015</x:v>
      </x:c>
      <x:c r="B44" t="str">
        <x:v>Synthetic Customer 015</x:v>
      </x:c>
      <x:c r="C44" t="str">
        <x:v>CORPORATE</x:v>
      </x:c>
      <x:c r="D44" t="str">
        <x:v>LOW</x:v>
      </x:c>
      <x:c r="E44" t="str">
        <x:v>2026-06</x:v>
      </x:c>
      <x:c r="F44" t="n">
        <x:v>8</x:v>
      </x:c>
      <x:c r="G44" s="10" t="n">
        <x:v>180045.27</x:v>
      </x:c>
      <x:c r="H44" s="10" t="n">
        <x:v>0</x:v>
      </x:c>
      <x:c r="I44" s="10" t="n">
        <x:v>180045.27</x:v>
      </x:c>
      <x:c r="J44" s="10" t="n">
        <x:v>190125.57</x:v>
      </x:c>
      <x:c r="K44" t="n">
        <x:v>0</x:v>
      </x:c>
    </x:row>
    <x:row r="45">
      <x:c r="A45" t="str">
        <x:v>C0045</x:v>
      </x:c>
      <x:c r="B45" t="str">
        <x:v>Synthetic Customer 045</x:v>
      </x:c>
      <x:c r="C45" t="str">
        <x:v>CORPORATE</x:v>
      </x:c>
      <x:c r="D45" t="str">
        <x:v>LOW</x:v>
      </x:c>
      <x:c r="E45" t="str">
        <x:v>2026-06</x:v>
      </x:c>
      <x:c r="F45" t="n">
        <x:v>9</x:v>
      </x:c>
      <x:c r="G45" s="10" t="n">
        <x:v>47205.86</x:v>
      </x:c>
      <x:c r="H45" s="10" t="n">
        <x:v>131897.29</x:v>
      </x:c>
      <x:c r="I45" s="10" t="n">
        <x:v>179103.15</x:v>
      </x:c>
      <x:c r="J45" s="10" t="n">
        <x:v>211540.63</x:v>
      </x:c>
      <x:c r="K45" t="n">
        <x:v>0</x:v>
      </x:c>
    </x:row>
    <x:row r="46">
      <x:c r="A46" t="str">
        <x:v>C0039</x:v>
      </x:c>
      <x:c r="B46" t="str">
        <x:v>Synthetic Customer 039</x:v>
      </x:c>
      <x:c r="C46" t="str">
        <x:v>CORPORATE</x:v>
      </x:c>
      <x:c r="D46" t="str">
        <x:v>MEDIUM</x:v>
      </x:c>
      <x:c r="E46" t="str">
        <x:v>2026-05</x:v>
      </x:c>
      <x:c r="F46" t="n">
        <x:v>8</x:v>
      </x:c>
      <x:c r="G46" s="10" t="n">
        <x:v>77080.36</x:v>
      </x:c>
      <x:c r="H46" s="10" t="n">
        <x:v>100982.49</x:v>
      </x:c>
      <x:c r="I46" s="10" t="n">
        <x:v>178062.85</x:v>
      </x:c>
      <x:c r="J46" s="10" t="n">
        <x:v>229181.16</x:v>
      </x:c>
      <x:c r="K46" t="n">
        <x:v>0</x:v>
      </x:c>
    </x:row>
    <x:row r="47">
      <x:c r="A47" t="str">
        <x:v>C0057</x:v>
      </x:c>
      <x:c r="B47" t="str">
        <x:v>Synthetic Customer 057</x:v>
      </x:c>
      <x:c r="C47" t="str">
        <x:v>CORPORATE</x:v>
      </x:c>
      <x:c r="D47" t="str">
        <x:v>LOW</x:v>
      </x:c>
      <x:c r="E47" t="str">
        <x:v>2026-06</x:v>
      </x:c>
      <x:c r="F47" t="n">
        <x:v>9</x:v>
      </x:c>
      <x:c r="G47" s="10" t="n">
        <x:v>113568.09</x:v>
      </x:c>
      <x:c r="H47" s="10" t="n">
        <x:v>63111.08</x:v>
      </x:c>
      <x:c r="I47" s="10" t="n">
        <x:v>176679.17</x:v>
      </x:c>
      <x:c r="J47" s="10" t="n">
        <x:v>200159.31</x:v>
      </x:c>
      <x:c r="K47" t="n">
        <x:v>0</x:v>
      </x:c>
    </x:row>
    <x:row r="48">
      <x:c r="A48" t="str">
        <x:v>C0087</x:v>
      </x:c>
      <x:c r="B48" t="str">
        <x:v>Synthetic Customer 087</x:v>
      </x:c>
      <x:c r="C48" t="str">
        <x:v>CORPORATE</x:v>
      </x:c>
      <x:c r="D48" t="str">
        <x:v>MEDIUM</x:v>
      </x:c>
      <x:c r="E48" t="str">
        <x:v>2026-09</x:v>
      </x:c>
      <x:c r="F48" t="n">
        <x:v>17</x:v>
      </x:c>
      <x:c r="G48" s="10" t="n">
        <x:v>60380.41</x:v>
      </x:c>
      <x:c r="H48" s="10" t="n">
        <x:v>113257.59</x:v>
      </x:c>
      <x:c r="I48" s="10" t="n">
        <x:v>173638</x:v>
      </x:c>
      <x:c r="J48" s="10" t="n">
        <x:v>202568.03</x:v>
      </x:c>
      <x:c r="K48" t="n">
        <x:v>0</x:v>
      </x:c>
    </x:row>
    <x:row r="49">
      <x:c r="A49" t="str">
        <x:v>C0099</x:v>
      </x:c>
      <x:c r="B49" t="str">
        <x:v>Synthetic Customer 099</x:v>
      </x:c>
      <x:c r="C49" t="str">
        <x:v>CORPORATE</x:v>
      </x:c>
      <x:c r="D49" t="str">
        <x:v>HIGH</x:v>
      </x:c>
      <x:c r="E49" t="str">
        <x:v>2026-04</x:v>
      </x:c>
      <x:c r="F49" t="n">
        <x:v>4</x:v>
      </x:c>
      <x:c r="G49" s="10" t="n">
        <x:v>0</x:v>
      </x:c>
      <x:c r="H49" s="10" t="n">
        <x:v>173486.77</x:v>
      </x:c>
      <x:c r="I49" s="10" t="n">
        <x:v>173486.77</x:v>
      </x:c>
      <x:c r="J49" s="10" t="n">
        <x:v>188057.22</x:v>
      </x:c>
      <x:c r="K49" t="n">
        <x:v>0</x:v>
      </x:c>
    </x:row>
    <x:row r="50">
      <x:c r="A50" t="str">
        <x:v>C0123</x:v>
      </x:c>
      <x:c r="B50" t="str">
        <x:v>Synthetic Customer 123</x:v>
      </x:c>
      <x:c r="C50" t="str">
        <x:v>CORPORATE</x:v>
      </x:c>
      <x:c r="D50" t="str">
        <x:v>HIGH</x:v>
      </x:c>
      <x:c r="E50" t="str">
        <x:v>2026-09</x:v>
      </x:c>
      <x:c r="F50" t="n">
        <x:v>9</x:v>
      </x:c>
      <x:c r="G50" s="10" t="n">
        <x:v>76515.18</x:v>
      </x:c>
      <x:c r="H50" s="10" t="n">
        <x:v>96652</x:v>
      </x:c>
      <x:c r="I50" s="10" t="n">
        <x:v>173167.18</x:v>
      </x:c>
      <x:c r="J50" s="10" t="n">
        <x:v>203732.67</x:v>
      </x:c>
      <x:c r="K50" t="n">
        <x:v>0</x:v>
      </x:c>
    </x:row>
    <x:row r="51">
      <x:c r="A51" t="str">
        <x:v>C0045</x:v>
      </x:c>
      <x:c r="B51" t="str">
        <x:v>Synthetic Customer 045</x:v>
      </x:c>
      <x:c r="C51" t="str">
        <x:v>CORPORATE</x:v>
      </x:c>
      <x:c r="D51" t="str">
        <x:v>LOW</x:v>
      </x:c>
      <x:c r="E51" t="str">
        <x:v>2026-08</x:v>
      </x:c>
      <x:c r="F51" t="n">
        <x:v>7</x:v>
      </x:c>
      <x:c r="G51" s="10" t="n">
        <x:v>38034.72</x:v>
      </x:c>
      <x:c r="H51" s="10" t="n">
        <x:v>135055.54</x:v>
      </x:c>
      <x:c r="I51" s="10" t="n">
        <x:v>173090.26</x:v>
      </x:c>
      <x:c r="J51" s="10" t="n">
        <x:v>211540.63</x:v>
      </x:c>
      <x:c r="K51" t="n">
        <x:v>0</x:v>
      </x:c>
    </x:row>
    <x:row r="52">
      <x:c r="A52" t="str">
        <x:v>C0066</x:v>
      </x:c>
      <x:c r="B52" t="str">
        <x:v>Synthetic Customer 066</x:v>
      </x:c>
      <x:c r="C52" t="str">
        <x:v>CORPORATE</x:v>
      </x:c>
      <x:c r="D52" t="str">
        <x:v>HIGH</x:v>
      </x:c>
      <x:c r="E52" t="str">
        <x:v>2026-09</x:v>
      </x:c>
      <x:c r="F52" t="n">
        <x:v>3</x:v>
      </x:c>
      <x:c r="G52" s="10" t="n">
        <x:v>152060.06</x:v>
      </x:c>
      <x:c r="H52" s="10" t="n">
        <x:v>19666.73</x:v>
      </x:c>
      <x:c r="I52" s="10" t="n">
        <x:v>171726.79</x:v>
      </x:c>
      <x:c r="J52" s="10" t="n">
        <x:v>158196.85</x:v>
      </x:c>
      <x:c r="K52" t="n">
        <x:v>0</x:v>
      </x:c>
    </x:row>
    <x:row r="53">
      <x:c r="A53" t="str">
        <x:v>C0003</x:v>
      </x:c>
      <x:c r="B53" t="str">
        <x:v>Synthetic Customer 003</x:v>
      </x:c>
      <x:c r="C53" t="str">
        <x:v>CORPORATE</x:v>
      </x:c>
      <x:c r="D53" t="str">
        <x:v>LOW</x:v>
      </x:c>
      <x:c r="E53" t="str">
        <x:v>2026-07</x:v>
      </x:c>
      <x:c r="F53" t="n">
        <x:v>9</x:v>
      </x:c>
      <x:c r="G53" s="10" t="n">
        <x:v>102967.78</x:v>
      </x:c>
      <x:c r="H53" s="10" t="n">
        <x:v>68657.34</x:v>
      </x:c>
      <x:c r="I53" s="10" t="n">
        <x:v>171625.12</x:v>
      </x:c>
      <x:c r="J53" s="10" t="n">
        <x:v>199958.52</x:v>
      </x:c>
      <x:c r="K53" t="n">
        <x:v>0</x:v>
      </x:c>
    </x:row>
    <x:row r="54">
      <x:c r="A54" t="str">
        <x:v>C0057</x:v>
      </x:c>
      <x:c r="B54" t="str">
        <x:v>Synthetic Customer 057</x:v>
      </x:c>
      <x:c r="C54" t="str">
        <x:v>CORPORATE</x:v>
      </x:c>
      <x:c r="D54" t="str">
        <x:v>LOW</x:v>
      </x:c>
      <x:c r="E54" t="str">
        <x:v>2026-05</x:v>
      </x:c>
      <x:c r="F54" t="n">
        <x:v>5</x:v>
      </x:c>
      <x:c r="G54" s="10" t="n">
        <x:v>160886.25</x:v>
      </x:c>
      <x:c r="H54" s="10" t="n">
        <x:v>10000</x:v>
      </x:c>
      <x:c r="I54" s="10" t="n">
        <x:v>170886.25</x:v>
      </x:c>
      <x:c r="J54" s="10" t="n">
        <x:v>200159.31</x:v>
      </x:c>
      <x:c r="K54" t="n">
        <x:v>0</x:v>
      </x:c>
    </x:row>
    <x:row r="55">
      <x:c r="A55" t="str">
        <x:v>C0039</x:v>
      </x:c>
      <x:c r="B55" t="str">
        <x:v>Synthetic Customer 039</x:v>
      </x:c>
      <x:c r="C55" t="str">
        <x:v>CORPORATE</x:v>
      </x:c>
      <x:c r="D55" t="str">
        <x:v>MEDIUM</x:v>
      </x:c>
      <x:c r="E55" t="str">
        <x:v>2026-08</x:v>
      </x:c>
      <x:c r="F55" t="n">
        <x:v>4</x:v>
      </x:c>
      <x:c r="G55" s="10" t="n">
        <x:v>48124.35</x:v>
      </x:c>
      <x:c r="H55" s="10" t="n">
        <x:v>122574.74</x:v>
      </x:c>
      <x:c r="I55" s="10" t="n">
        <x:v>170699.09</x:v>
      </x:c>
      <x:c r="J55" s="10" t="n">
        <x:v>229181.16</x:v>
      </x:c>
      <x:c r="K55" t="n">
        <x:v>0</x:v>
      </x:c>
    </x:row>
    <x:row r="56">
      <x:c r="A56" t="str">
        <x:v>C0129</x:v>
      </x:c>
      <x:c r="B56" t="str">
        <x:v>Synthetic Customer 129</x:v>
      </x:c>
      <x:c r="C56" t="str">
        <x:v>CORPORATE</x:v>
      </x:c>
      <x:c r="D56" t="str">
        <x:v>MEDIUM</x:v>
      </x:c>
      <x:c r="E56" t="str">
        <x:v>2026-04</x:v>
      </x:c>
      <x:c r="F56" t="n">
        <x:v>9</x:v>
      </x:c>
      <x:c r="G56" s="10" t="n">
        <x:v>108317.87</x:v>
      </x:c>
      <x:c r="H56" s="10" t="n">
        <x:v>62240.6</x:v>
      </x:c>
      <x:c r="I56" s="10" t="n">
        <x:v>170558.47</x:v>
      </x:c>
      <x:c r="J56" s="10" t="n">
        <x:v>182880.26</x:v>
      </x:c>
      <x:c r="K56" t="n">
        <x:v>0</x:v>
      </x:c>
    </x:row>
    <x:row r="57">
      <x:c r="A57" t="str">
        <x:v>C0108</x:v>
      </x:c>
      <x:c r="B57" t="str">
        <x:v>Synthetic Customer 108</x:v>
      </x:c>
      <x:c r="C57" t="str">
        <x:v>CORPORATE</x:v>
      </x:c>
      <x:c r="D57" t="str">
        <x:v>MEDIUM</x:v>
      </x:c>
      <x:c r="E57" t="str">
        <x:v>2026-09</x:v>
      </x:c>
      <x:c r="F57" t="n">
        <x:v>5</x:v>
      </x:c>
      <x:c r="G57" s="10" t="n">
        <x:v>160655.89</x:v>
      </x:c>
      <x:c r="H57" s="10" t="n">
        <x:v>9632.25</x:v>
      </x:c>
      <x:c r="I57" s="10" t="n">
        <x:v>170288.14</x:v>
      </x:c>
      <x:c r="J57" s="10" t="n">
        <x:v>214664.72</x:v>
      </x:c>
      <x:c r="K57" t="n">
        <x:v>0</x:v>
      </x:c>
    </x:row>
    <x:row r="58">
      <x:c r="A58" t="str">
        <x:v>C0126</x:v>
      </x:c>
      <x:c r="B58" t="str">
        <x:v>Synthetic Customer 126</x:v>
      </x:c>
      <x:c r="C58" t="str">
        <x:v>CORPORATE</x:v>
      </x:c>
      <x:c r="D58" t="str">
        <x:v>LOW</x:v>
      </x:c>
      <x:c r="E58" t="str">
        <x:v>2026-04</x:v>
      </x:c>
      <x:c r="F58" t="n">
        <x:v>8</x:v>
      </x:c>
      <x:c r="G58" s="10" t="n">
        <x:v>29520.45</x:v>
      </x:c>
      <x:c r="H58" s="10" t="n">
        <x:v>139396.98</x:v>
      </x:c>
      <x:c r="I58" s="10" t="n">
        <x:v>168917.43</x:v>
      </x:c>
      <x:c r="J58" s="10" t="n">
        <x:v>198464.99</x:v>
      </x:c>
      <x:c r="K58" t="n">
        <x:v>0</x:v>
      </x:c>
    </x:row>
    <x:row r="59">
      <x:c r="A59" t="str">
        <x:v>C0099</x:v>
      </x:c>
      <x:c r="B59" t="str">
        <x:v>Synthetic Customer 099</x:v>
      </x:c>
      <x:c r="C59" t="str">
        <x:v>CORPORATE</x:v>
      </x:c>
      <x:c r="D59" t="str">
        <x:v>HIGH</x:v>
      </x:c>
      <x:c r="E59" t="str">
        <x:v>2026-05</x:v>
      </x:c>
      <x:c r="F59" t="n">
        <x:v>8</x:v>
      </x:c>
      <x:c r="G59" s="10" t="n">
        <x:v>88681.39</x:v>
      </x:c>
      <x:c r="H59" s="10" t="n">
        <x:v>79156.46</x:v>
      </x:c>
      <x:c r="I59" s="10" t="n">
        <x:v>167837.85</x:v>
      </x:c>
      <x:c r="J59" s="10" t="n">
        <x:v>188057.22</x:v>
      </x:c>
      <x:c r="K59" t="n">
        <x:v>0</x:v>
      </x:c>
    </x:row>
    <x:row r="60">
      <x:c r="A60" t="str">
        <x:v>C0051</x:v>
      </x:c>
      <x:c r="B60" t="str">
        <x:v>Synthetic Customer 051</x:v>
      </x:c>
      <x:c r="C60" t="str">
        <x:v>CORPORATE</x:v>
      </x:c>
      <x:c r="D60" t="str">
        <x:v>MEDIUM</x:v>
      </x:c>
      <x:c r="E60" t="str">
        <x:v>2026-08</x:v>
      </x:c>
      <x:c r="F60" t="n">
        <x:v>3</x:v>
      </x:c>
      <x:c r="G60" s="10" t="n">
        <x:v>136561.79</x:v>
      </x:c>
      <x:c r="H60" s="10" t="n">
        <x:v>29758.32</x:v>
      </x:c>
      <x:c r="I60" s="10" t="n">
        <x:v>166320.11</x:v>
      </x:c>
      <x:c r="J60" s="10" t="n">
        <x:v>140536</x:v>
      </x:c>
      <x:c r="K60" t="n">
        <x:v>0</x:v>
      </x:c>
    </x:row>
    <x:row r="61">
      <x:c r="A61" t="str">
        <x:v>C0114</x:v>
      </x:c>
      <x:c r="B61" t="str">
        <x:v>Synthetic Customer 114</x:v>
      </x:c>
      <x:c r="C61" t="str">
        <x:v>CORPORATE</x:v>
      </x:c>
      <x:c r="D61" t="str">
        <x:v>LOW</x:v>
      </x:c>
      <x:c r="E61" t="str">
        <x:v>2026-09</x:v>
      </x:c>
      <x:c r="F61" t="n">
        <x:v>6</x:v>
      </x:c>
      <x:c r="G61" s="10" t="n">
        <x:v>120446.42</x:v>
      </x:c>
      <x:c r="H61" s="10" t="n">
        <x:v>44184.03</x:v>
      </x:c>
      <x:c r="I61" s="10" t="n">
        <x:v>164630.45</x:v>
      </x:c>
      <x:c r="J61" s="10" t="n">
        <x:v>141769.79</x:v>
      </x:c>
      <x:c r="K61" t="n">
        <x:v>0</x:v>
      </x:c>
    </x:row>
    <x:row r="62">
      <x:c r="A62" t="str">
        <x:v>C0105</x:v>
      </x:c>
      <x:c r="B62" t="str">
        <x:v>Synthetic Customer 105</x:v>
      </x:c>
      <x:c r="C62" t="str">
        <x:v>CORPORATE</x:v>
      </x:c>
      <x:c r="D62" t="str">
        <x:v>LOW</x:v>
      </x:c>
      <x:c r="E62" t="str">
        <x:v>2026-04</x:v>
      </x:c>
      <x:c r="F62" t="n">
        <x:v>9</x:v>
      </x:c>
      <x:c r="G62" s="10" t="n">
        <x:v>48480.79</x:v>
      </x:c>
      <x:c r="H62" s="10" t="n">
        <x:v>115520.15</x:v>
      </x:c>
      <x:c r="I62" s="10" t="n">
        <x:v>164000.94</x:v>
      </x:c>
      <x:c r="J62" s="10" t="n">
        <x:v>231066.75</x:v>
      </x:c>
      <x:c r="K62" t="n">
        <x:v>0</x:v>
      </x:c>
    </x:row>
    <x:row r="63">
      <x:c r="A63" t="str">
        <x:v>C0072</x:v>
      </x:c>
      <x:c r="B63" t="str">
        <x:v>Synthetic Customer 072</x:v>
      </x:c>
      <x:c r="C63" t="str">
        <x:v>CORPORATE</x:v>
      </x:c>
      <x:c r="D63" t="str">
        <x:v>MEDIUM</x:v>
      </x:c>
      <x:c r="E63" t="str">
        <x:v>2026-06</x:v>
      </x:c>
      <x:c r="F63" t="n">
        <x:v>8</x:v>
      </x:c>
      <x:c r="G63" s="10" t="n">
        <x:v>53781.9</x:v>
      </x:c>
      <x:c r="H63" s="10" t="n">
        <x:v>110209.35</x:v>
      </x:c>
      <x:c r="I63" s="10" t="n">
        <x:v>163991.25</x:v>
      </x:c>
      <x:c r="J63" s="10" t="n">
        <x:v>167333.54</x:v>
      </x:c>
      <x:c r="K63" t="n">
        <x:v>0</x:v>
      </x:c>
    </x:row>
    <x:row r="64">
      <x:c r="A64" t="str">
        <x:v>C0030</x:v>
      </x:c>
      <x:c r="B64" t="str">
        <x:v>Synthetic Customer 030</x:v>
      </x:c>
      <x:c r="C64" t="str">
        <x:v>CORPORATE</x:v>
      </x:c>
      <x:c r="D64" t="str">
        <x:v>MEDIUM</x:v>
      </x:c>
      <x:c r="E64" t="str">
        <x:v>2026-08</x:v>
      </x:c>
      <x:c r="F64" t="n">
        <x:v>3</x:v>
      </x:c>
      <x:c r="G64" s="10" t="n">
        <x:v>102681.04</x:v>
      </x:c>
      <x:c r="H64" s="10" t="n">
        <x:v>61083.14</x:v>
      </x:c>
      <x:c r="I64" s="10" t="n">
        <x:v>163764.18</x:v>
      </x:c>
      <x:c r="J64" s="10" t="n">
        <x:v>173304.52</x:v>
      </x:c>
      <x:c r="K64" t="n">
        <x:v>0</x:v>
      </x:c>
    </x:row>
    <x:row r="65">
      <x:c r="A65" t="str">
        <x:v>C0006</x:v>
      </x:c>
      <x:c r="B65" t="str">
        <x:v>Synthetic Customer 006</x:v>
      </x:c>
      <x:c r="C65" t="str">
        <x:v>CORPORATE</x:v>
      </x:c>
      <x:c r="D65" t="str">
        <x:v>MEDIUM</x:v>
      </x:c>
      <x:c r="E65" t="str">
        <x:v>2026-07</x:v>
      </x:c>
      <x:c r="F65" t="n">
        <x:v>3</x:v>
      </x:c>
      <x:c r="G65" s="10" t="n">
        <x:v>128134.6</x:v>
      </x:c>
      <x:c r="H65" s="10" t="n">
        <x:v>34154.13</x:v>
      </x:c>
      <x:c r="I65" s="10" t="n">
        <x:v>162288.73</x:v>
      </x:c>
      <x:c r="J65" s="10" t="n">
        <x:v>176899.32</x:v>
      </x:c>
      <x:c r="K65" t="n">
        <x:v>0</x:v>
      </x:c>
    </x:row>
    <x:row r="66">
      <x:c r="A66" t="str">
        <x:v>C0078</x:v>
      </x:c>
      <x:c r="B66" t="str">
        <x:v>Synthetic Customer 078</x:v>
      </x:c>
      <x:c r="C66" t="str">
        <x:v>CORPORATE</x:v>
      </x:c>
      <x:c r="D66" t="str">
        <x:v>HIGH</x:v>
      </x:c>
      <x:c r="E66" t="str">
        <x:v>2026-07</x:v>
      </x:c>
      <x:c r="F66" t="n">
        <x:v>7</x:v>
      </x:c>
      <x:c r="G66" s="10" t="n">
        <x:v>131797.36</x:v>
      </x:c>
      <x:c r="H66" s="10" t="n">
        <x:v>29962.97</x:v>
      </x:c>
      <x:c r="I66" s="10" t="n">
        <x:v>161760.33</x:v>
      </x:c>
      <x:c r="J66" s="10" t="n">
        <x:v>208655.55</x:v>
      </x:c>
      <x:c r="K66" t="n">
        <x:v>0</x:v>
      </x:c>
    </x:row>
    <x:row r="67">
      <x:c r="A67" t="str">
        <x:v>C0105</x:v>
      </x:c>
      <x:c r="B67" t="str">
        <x:v>Synthetic Customer 105</x:v>
      </x:c>
      <x:c r="C67" t="str">
        <x:v>CORPORATE</x:v>
      </x:c>
      <x:c r="D67" t="str">
        <x:v>LOW</x:v>
      </x:c>
      <x:c r="E67" t="str">
        <x:v>2026-07</x:v>
      </x:c>
      <x:c r="F67" t="n">
        <x:v>7</x:v>
      </x:c>
      <x:c r="G67" s="10" t="n">
        <x:v>67440.04</x:v>
      </x:c>
      <x:c r="H67" s="10" t="n">
        <x:v>93170.74</x:v>
      </x:c>
      <x:c r="I67" s="10" t="n">
        <x:v>160610.78</x:v>
      </x:c>
      <x:c r="J67" s="10" t="n">
        <x:v>231066.75</x:v>
      </x:c>
      <x:c r="K67" t="n">
        <x:v>0</x:v>
      </x:c>
    </x:row>
    <x:row r="68">
      <x:c r="A68" t="str">
        <x:v>C0084</x:v>
      </x:c>
      <x:c r="B68" t="str">
        <x:v>Synthetic Customer 084</x:v>
      </x:c>
      <x:c r="C68" t="str">
        <x:v>CORPORATE</x:v>
      </x:c>
      <x:c r="D68" t="str">
        <x:v>MEDIUM</x:v>
      </x:c>
      <x:c r="E68" t="str">
        <x:v>2026-06</x:v>
      </x:c>
      <x:c r="F68" t="n">
        <x:v>4</x:v>
      </x:c>
      <x:c r="G68" s="10" t="n">
        <x:v>28062.21</x:v>
      </x:c>
      <x:c r="H68" s="10" t="n">
        <x:v>131516.52</x:v>
      </x:c>
      <x:c r="I68" s="10" t="n">
        <x:v>159578.73</x:v>
      </x:c>
      <x:c r="J68" s="10" t="n">
        <x:v>197133.49</x:v>
      </x:c>
      <x:c r="K68" t="n">
        <x:v>0</x:v>
      </x:c>
    </x:row>
    <x:row r="69">
      <x:c r="A69" t="str">
        <x:v>C0063</x:v>
      </x:c>
      <x:c r="B69" t="str">
        <x:v>Synthetic Customer 063</x:v>
      </x:c>
      <x:c r="C69" t="str">
        <x:v>CORPORATE</x:v>
      </x:c>
      <x:c r="D69" t="str">
        <x:v>MEDIUM</x:v>
      </x:c>
      <x:c r="E69" t="str">
        <x:v>2026-07</x:v>
      </x:c>
      <x:c r="F69" t="n">
        <x:v>4</x:v>
      </x:c>
      <x:c r="G69" s="10" t="n">
        <x:v>61352.21</x:v>
      </x:c>
      <x:c r="H69" s="10" t="n">
        <x:v>97753.42</x:v>
      </x:c>
      <x:c r="I69" s="10" t="n">
        <x:v>159105.63</x:v>
      </x:c>
      <x:c r="J69" s="10" t="n">
        <x:v>147329.09</x:v>
      </x:c>
      <x:c r="K69" t="n">
        <x:v>0</x:v>
      </x:c>
    </x:row>
    <x:row r="70">
      <x:c r="A70" t="str">
        <x:v>C0045</x:v>
      </x:c>
      <x:c r="B70" t="str">
        <x:v>Synthetic Customer 045</x:v>
      </x:c>
      <x:c r="C70" t="str">
        <x:v>CORPORATE</x:v>
      </x:c>
      <x:c r="D70" t="str">
        <x:v>LOW</x:v>
      </x:c>
      <x:c r="E70" t="str">
        <x:v>2026-09</x:v>
      </x:c>
      <x:c r="F70" t="n">
        <x:v>5</x:v>
      </x:c>
      <x:c r="G70" s="10" t="n">
        <x:v>95776.4</x:v>
      </x:c>
      <x:c r="H70" s="10" t="n">
        <x:v>63194.99</x:v>
      </x:c>
      <x:c r="I70" s="10" t="n">
        <x:v>158971.39</x:v>
      </x:c>
      <x:c r="J70" s="10" t="n">
        <x:v>211540.63</x:v>
      </x:c>
      <x:c r="K70" t="n">
        <x:v>0</x:v>
      </x:c>
    </x:row>
    <x:row r="71">
      <x:c r="A71" t="str">
        <x:v>C0096</x:v>
      </x:c>
      <x:c r="B71" t="str">
        <x:v>Synthetic Customer 096</x:v>
      </x:c>
      <x:c r="C71" t="str">
        <x:v>CORPORATE</x:v>
      </x:c>
      <x:c r="D71" t="str">
        <x:v>MEDIUM</x:v>
      </x:c>
      <x:c r="E71" t="str">
        <x:v>2026-09</x:v>
      </x:c>
      <x:c r="F71" t="n">
        <x:v>9</x:v>
      </x:c>
      <x:c r="G71" s="10" t="n">
        <x:v>54345.69</x:v>
      </x:c>
      <x:c r="H71" s="10" t="n">
        <x:v>104429.78</x:v>
      </x:c>
      <x:c r="I71" s="10" t="n">
        <x:v>158775.47</x:v>
      </x:c>
      <x:c r="J71" s="10" t="n">
        <x:v>195298.14</x:v>
      </x:c>
      <x:c r="K71" t="n">
        <x:v>0</x:v>
      </x:c>
    </x:row>
    <x:row r="72">
      <x:c r="A72" t="str">
        <x:v>C0018</x:v>
      </x:c>
      <x:c r="B72" t="str">
        <x:v>Synthetic Customer 018</x:v>
      </x:c>
      <x:c r="C72" t="str">
        <x:v>CORPORATE</x:v>
      </x:c>
      <x:c r="D72" t="str">
        <x:v>MEDIUM</x:v>
      </x:c>
      <x:c r="E72" t="str">
        <x:v>2026-04</x:v>
      </x:c>
      <x:c r="F72" t="n">
        <x:v>9</x:v>
      </x:c>
      <x:c r="G72" s="10" t="n">
        <x:v>124966.38</x:v>
      </x:c>
      <x:c r="H72" s="10" t="n">
        <x:v>33770.86</x:v>
      </x:c>
      <x:c r="I72" s="10" t="n">
        <x:v>158737.24</x:v>
      </x:c>
      <x:c r="J72" s="10" t="n">
        <x:v>186361.96</x:v>
      </x:c>
      <x:c r="K72" t="n">
        <x:v>0</x:v>
      </x:c>
    </x:row>
    <x:row r="73">
      <x:c r="A73" t="str">
        <x:v>C0096</x:v>
      </x:c>
      <x:c r="B73" t="str">
        <x:v>Synthetic Customer 096</x:v>
      </x:c>
      <x:c r="C73" t="str">
        <x:v>CORPORATE</x:v>
      </x:c>
      <x:c r="D73" t="str">
        <x:v>MEDIUM</x:v>
      </x:c>
      <x:c r="E73" t="str">
        <x:v>2026-06</x:v>
      </x:c>
      <x:c r="F73" t="n">
        <x:v>5</x:v>
      </x:c>
      <x:c r="G73" s="10" t="n">
        <x:v>91106.5</x:v>
      </x:c>
      <x:c r="H73" s="10" t="n">
        <x:v>67232.73</x:v>
      </x:c>
      <x:c r="I73" s="10" t="n">
        <x:v>158339.23</x:v>
      </x:c>
      <x:c r="J73" s="10" t="n">
        <x:v>195298.14</x:v>
      </x:c>
      <x:c r="K73" t="n">
        <x:v>0</x:v>
      </x:c>
    </x:row>
    <x:row r="74">
      <x:c r="A74" t="str">
        <x:v>C0017</x:v>
      </x:c>
      <x:c r="B74" t="str">
        <x:v>Synthetic Customer 017</x:v>
      </x:c>
      <x:c r="C74" t="str">
        <x:v>SME</x:v>
      </x:c>
      <x:c r="D74" t="str">
        <x:v>LOW</x:v>
      </x:c>
      <x:c r="E74" t="str">
        <x:v>2026-05</x:v>
      </x:c>
      <x:c r="F74" t="n">
        <x:v>3</x:v>
      </x:c>
      <x:c r="G74" s="10" t="n">
        <x:v>157963.59</x:v>
      </x:c>
      <x:c r="H74" s="10" t="n">
        <x:v>0</x:v>
      </x:c>
      <x:c r="I74" s="10" t="n">
        <x:v>157963.59</x:v>
      </x:c>
      <x:c r="J74" s="10" t="n">
        <x:v>87626.85</x:v>
      </x:c>
      <x:c r="K74" t="n">
        <x:v>0</x:v>
      </x:c>
    </x:row>
    <x:row r="75">
      <x:c r="A75" t="str">
        <x:v>C0048</x:v>
      </x:c>
      <x:c r="B75" t="str">
        <x:v>Synthetic Customer 048</x:v>
      </x:c>
      <x:c r="C75" t="str">
        <x:v>CORPORATE</x:v>
      </x:c>
      <x:c r="D75" t="str">
        <x:v>LOW</x:v>
      </x:c>
      <x:c r="E75" t="str">
        <x:v>2026-08</x:v>
      </x:c>
      <x:c r="F75" t="n">
        <x:v>9</x:v>
      </x:c>
      <x:c r="G75" s="10" t="n">
        <x:v>134105.24</x:v>
      </x:c>
      <x:c r="H75" s="10" t="n">
        <x:v>23493.86</x:v>
      </x:c>
      <x:c r="I75" s="10" t="n">
        <x:v>157599.1</x:v>
      </x:c>
      <x:c r="J75" s="10" t="n">
        <x:v>218657.43</x:v>
      </x:c>
      <x:c r="K75" t="n">
        <x:v>0</x:v>
      </x:c>
    </x:row>
    <x:row r="76">
      <x:c r="A76" t="str">
        <x:v>C0129</x:v>
      </x:c>
      <x:c r="B76" t="str">
        <x:v>Synthetic Customer 129</x:v>
      </x:c>
      <x:c r="C76" t="str">
        <x:v>CORPORATE</x:v>
      </x:c>
      <x:c r="D76" t="str">
        <x:v>MEDIUM</x:v>
      </x:c>
      <x:c r="E76" t="str">
        <x:v>2026-06</x:v>
      </x:c>
      <x:c r="F76" t="n">
        <x:v>7</x:v>
      </x:c>
      <x:c r="G76" s="10" t="n">
        <x:v>118165.79</x:v>
      </x:c>
      <x:c r="H76" s="10" t="n">
        <x:v>38750.33</x:v>
      </x:c>
      <x:c r="I76" s="10" t="n">
        <x:v>156916.12</x:v>
      </x:c>
      <x:c r="J76" s="10" t="n">
        <x:v>182880.26</x:v>
      </x:c>
      <x:c r="K76" t="n">
        <x:v>0</x:v>
      </x:c>
    </x:row>
    <x:row r="77">
      <x:c r="A77" t="str">
        <x:v>C0111</x:v>
      </x:c>
      <x:c r="B77" t="str">
        <x:v>Synthetic Customer 111</x:v>
      </x:c>
      <x:c r="C77" t="str">
        <x:v>CORPORATE</x:v>
      </x:c>
      <x:c r="D77" t="str">
        <x:v>HIGH</x:v>
      </x:c>
      <x:c r="E77" t="str">
        <x:v>2026-09</x:v>
      </x:c>
      <x:c r="F77" t="n">
        <x:v>4</x:v>
      </x:c>
      <x:c r="G77" s="10" t="n">
        <x:v>0</x:v>
      </x:c>
      <x:c r="H77" s="10" t="n">
        <x:v>155337.58</x:v>
      </x:c>
      <x:c r="I77" s="10" t="n">
        <x:v>155337.58</x:v>
      </x:c>
      <x:c r="J77" s="10" t="n">
        <x:v>177558.45</x:v>
      </x:c>
      <x:c r="K77" t="n">
        <x:v>0</x:v>
      </x:c>
    </x:row>
    <x:row r="78">
      <x:c r="A78" t="str">
        <x:v>C0138</x:v>
      </x:c>
      <x:c r="B78" t="str">
        <x:v>Synthetic Customer 138</x:v>
      </x:c>
      <x:c r="C78" t="str">
        <x:v>CORPORATE</x:v>
      </x:c>
      <x:c r="D78" t="str">
        <x:v>LOW</x:v>
      </x:c>
      <x:c r="E78" t="str">
        <x:v>2026-06</x:v>
      </x:c>
      <x:c r="F78" t="n">
        <x:v>6</x:v>
      </x:c>
      <x:c r="G78" s="10" t="n">
        <x:v>59229.82</x:v>
      </x:c>
      <x:c r="H78" s="10" t="n">
        <x:v>94780.36</x:v>
      </x:c>
      <x:c r="I78" s="10" t="n">
        <x:v>154010.18</x:v>
      </x:c>
      <x:c r="J78" s="10" t="n">
        <x:v>138624.9</x:v>
      </x:c>
      <x:c r="K78" t="n">
        <x:v>0</x:v>
      </x:c>
    </x:row>
    <x:row r="79">
      <x:c r="A79" t="str">
        <x:v>C0120</x:v>
      </x:c>
      <x:c r="B79" t="str">
        <x:v>Synthetic Customer 120</x:v>
      </x:c>
      <x:c r="C79" t="str">
        <x:v>CORPORATE</x:v>
      </x:c>
      <x:c r="D79" t="str">
        <x:v>MEDIUM</x:v>
      </x:c>
      <x:c r="E79" t="str">
        <x:v>2026-06</x:v>
      </x:c>
      <x:c r="F79" t="n">
        <x:v>3</x:v>
      </x:c>
      <x:c r="G79" s="10" t="n">
        <x:v>64397.39</x:v>
      </x:c>
      <x:c r="H79" s="10" t="n">
        <x:v>88824.95</x:v>
      </x:c>
      <x:c r="I79" s="10" t="n">
        <x:v>153222.34</x:v>
      </x:c>
      <x:c r="J79" s="10" t="n">
        <x:v>170618.68</x:v>
      </x:c>
      <x:c r="K79" t="n">
        <x:v>0</x:v>
      </x:c>
    </x:row>
    <x:row r="80">
      <x:c r="A80" t="str">
        <x:v>C0018</x:v>
      </x:c>
      <x:c r="B80" t="str">
        <x:v>Synthetic Customer 018</x:v>
      </x:c>
      <x:c r="C80" t="str">
        <x:v>CORPORATE</x:v>
      </x:c>
      <x:c r="D80" t="str">
        <x:v>MEDIUM</x:v>
      </x:c>
      <x:c r="E80" t="str">
        <x:v>2026-05</x:v>
      </x:c>
      <x:c r="F80" t="n">
        <x:v>5</x:v>
      </x:c>
      <x:c r="G80" s="10" t="n">
        <x:v>138214.11</x:v>
      </x:c>
      <x:c r="H80" s="10" t="n">
        <x:v>14976.37</x:v>
      </x:c>
      <x:c r="I80" s="10" t="n">
        <x:v>153190.48</x:v>
      </x:c>
      <x:c r="J80" s="10" t="n">
        <x:v>186361.96</x:v>
      </x:c>
      <x:c r="K80" t="n">
        <x:v>0</x:v>
      </x:c>
    </x:row>
    <x:row r="81">
      <x:c r="A81" t="str">
        <x:v>C0126</x:v>
      </x:c>
      <x:c r="B81" t="str">
        <x:v>Synthetic Customer 126</x:v>
      </x:c>
      <x:c r="C81" t="str">
        <x:v>CORPORATE</x:v>
      </x:c>
      <x:c r="D81" t="str">
        <x:v>LOW</x:v>
      </x:c>
      <x:c r="E81" t="str">
        <x:v>2026-07</x:v>
      </x:c>
      <x:c r="F81" t="n">
        <x:v>8</x:v>
      </x:c>
      <x:c r="G81" s="10" t="n">
        <x:v>6662.2</x:v>
      </x:c>
      <x:c r="H81" s="10" t="n">
        <x:v>146169.62</x:v>
      </x:c>
      <x:c r="I81" s="10" t="n">
        <x:v>152831.82</x:v>
      </x:c>
      <x:c r="J81" s="10" t="n">
        <x:v>198464.99</x:v>
      </x:c>
      <x:c r="K8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782bae41184d7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</x:cols>
  <x:sheetData>
    <x:row r="1" ht="31" customHeight="1">
      <x:c r="A1" s="5" t="str">
        <x:v>Rejected reason</x:v>
      </x:c>
      <x:c r="B1" s="5" t="str">
        <x:v>Records</x:v>
      </x:c>
    </x:row>
    <x:row r="2">
      <x:c r="A2" t="str">
        <x:v>CROSS_BORDER_INCONSISTENT</x:v>
      </x:c>
      <x:c r="B2" t="n">
        <x:v>4</x:v>
      </x:c>
    </x:row>
    <x:row r="3">
      <x:c r="A3" t="str">
        <x:v>DUPLICATE_TRANSACTION_ID</x:v>
      </x:c>
      <x:c r="B3" t="n">
        <x:v>4</x:v>
      </x:c>
    </x:row>
    <x:row r="4">
      <x:c r="A4" t="str">
        <x:v>INVALID_AMOUNT</x:v>
      </x:c>
      <x:c r="B4" t="n">
        <x:v>4</x:v>
      </x:c>
    </x:row>
    <x:row r="5">
      <x:c r="A5" t="str">
        <x:v>INVALID_DATE</x:v>
      </x:c>
      <x:c r="B5" t="n">
        <x:v>4</x:v>
      </x:c>
    </x:row>
    <x:row r="6">
      <x:c r="A6" t="str">
        <x:v>INVALID_DIRECTION</x:v>
      </x:c>
      <x:c r="B6" t="n">
        <x:v>4</x:v>
      </x:c>
    </x:row>
    <x:row r="7">
      <x:c r="A7" t="str">
        <x:v>UNKNOWN_CUSTOMER</x:v>
      </x:c>
      <x:c r="B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132055f73a54a8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0" hidden="0" customWidth="1"/>
  </x:cols>
  <x:sheetData>
    <x:row r="1" ht="40" customHeight="1">
      <x:c r="A1" s="14" t="str">
        <x:v>PORTFOLIO DEMO • FULLY SYNTHETIC</x:v>
      </x:c>
      <x:c r="B1" s="14" t="str"/>
      <x:c r="C1" s="14" t="str"/>
      <x:c r="D1" s="14" t="str"/>
      <x:c r="E1" s="14" t="str"/>
      <x:c r="F1" s="14" t="str"/>
    </x:row>
    <x:row r="3" ht="30" customHeight="1">
      <x:c r="A3" s="17" t="str">
        <x:v>Purpose</x:v>
      </x:c>
      <x:c r="B3" s="20" t="str">
        <x:v>Demonstrate SQL/Python validation, scenario analysis, AML analytics, and executive reporting.</x:v>
      </x:c>
    </x:row>
    <x:row r="4" ht="30" customHeight="1">
      <x:c r="A4" s="17" t="str">
        <x:v>Dataset</x:v>
      </x:c>
      <x:c r="B4" s="20" t="str">
        <x:v>140 fictional customers; April–September 2026; 5,067 cleaned transactions.</x:v>
      </x:c>
    </x:row>
    <x:row r="5" ht="30" customHeight="1">
      <x:c r="A5" s="17" t="str">
        <x:v>Data safety</x:v>
      </x:c>
      <x:c r="B5" s="20" t="str">
        <x:v>All synthetic. No employer/customer data, SARs, or restricted systems.</x:v>
      </x:c>
    </x:row>
    <x:row r="6" ht="30" customHeight="1">
      <x:c r="A6" s="17" t="str">
        <x:v>Interpretation</x:v>
      </x:c>
      <x:c r="B6" s="20" t="str">
        <x:v>Scenario hits = review indicators only. They are NOT suspicious-activity determinations.</x:v>
      </x:c>
    </x:row>
    <x:row r="7" ht="30" customHeight="1">
      <x:c r="A7" s="17" t="str">
        <x:v>Rule overlap</x:v>
      </x:c>
      <x:c r="B7" s="20" t="str">
        <x:v>A transaction can hit multiple scenarios; flagged transactions are counted distinctly.</x:v>
      </x:c>
    </x:row>
    <x:row r="8" ht="30" customHeight="1">
      <x:c r="A8" s="17" t="str">
        <x:v>Outcomes</x:v>
      </x:c>
      <x:c r="B8" s="20" t="str">
        <x:v>No SAR decisions, AML risk scores or regulatory thresholds are represented.</x:v>
      </x:c>
    </x:row>
    <x:row r="9" ht="30" customHeight="1">
      <x:c r="A9" s="17" t="str">
        <x:v>Excel data model</x:v>
      </x:c>
      <x:c r="B9" s="20" t="str">
        <x:v>Monthly KPI, Scenario KPI, Segment KPI, Channel KPI, Review Queue and Data Quality tabs.</x:v>
      </x:c>
    </x:row>
    <x:row r="10" ht="30" customHeight="1">
      <x:c r="A10" s="17" t="str">
        <x:v>Refresh</x:v>
      </x:c>
      <x:c r="B10" s="20" t="str">
        <x:v>Regenerate source CSV outputs with Python, then refresh/rebuild the workbook.</x:v>
      </x:c>
    </x:row>
    <x:row r="11" ht="30" customHeight="1">
      <x:c r="A11" s="17" t="str">
        <x:v>Power BI</x:v>
      </x:c>
      <x:c r="B11" s="20" t="str">
        <x:v>See docs/POWER_BI_BUILD.md and powerbi/model/ exports in the project.</x:v>
      </x:c>
    </x:row>
    <x:row r="12" ht="30" customHeight="1">
      <x:c r="A12" s="17" t="str">
        <x:v>Source / guidance</x:v>
      </x:c>
      <x:c r="B12" s="20" t="str">
        <x:v>https://bsaaml.ffiec.gov/manual/AssessingComplianceWithBSARegulatoryRequirements/04</x:v>
      </x:c>
    </x:row>
  </x:sheetData>
  <x:mergeCells>
    <x:mergeCell ref="A1:F1"/>
  </x:mergeCells>
  <x:pageMargins left="0.7" right="0.7" top="0.75" bottom="0.75" header="0.3" footer="0.3"/>
</x:worksheet>
</file>